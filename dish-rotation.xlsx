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 log" sheetId="1" state="visible" r:id="rId1"/>
    <sheet xmlns:r="http://schemas.openxmlformats.org/officeDocument/2006/relationships" name="Dish rotation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'Cook log'!$A$1:$D$300</definedName>
    <definedName name="_xlnm._FilterDatabase" localSheetId="1" hidden="1">'Dish rotation'!$A$1:$H$71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ont>
        <name val="Arial"/>
        <i val="1"/>
        <color rgb="002F5496"/>
        <sz val="10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32" customWidth="1" min="4" max="4"/>
  </cols>
  <sheetData>
    <row r="1" ht="22" customHeight="1">
      <c r="A1" s="1" t="inlineStr">
        <is>
          <t>Date</t>
        </is>
      </c>
      <c r="B1" s="1" t="inlineStr">
        <is>
          <t>Day</t>
        </is>
      </c>
      <c r="C1" s="1" t="inlineStr">
        <is>
          <t>Dish</t>
        </is>
      </c>
      <c r="D1" s="1" t="inlineStr">
        <is>
          <t>Notes</t>
        </is>
      </c>
    </row>
    <row r="2">
      <c r="A2" s="2" t="n">
        <v>46153</v>
      </c>
      <c r="B2" s="3">
        <f>IF(A2="","",TEXT(A2,"ddd"))</f>
        <v/>
      </c>
      <c r="C2" t="inlineStr">
        <is>
          <t>Taiwanese pork chop</t>
        </is>
      </c>
      <c r="D2" t="inlineStr">
        <is>
          <t>planned (week of 11 May 2026)</t>
        </is>
      </c>
    </row>
    <row r="3">
      <c r="A3" s="2" t="n">
        <v>46153</v>
      </c>
      <c r="B3" s="3">
        <f>IF(A3="","",TEXT(A3,"ddd"))</f>
        <v/>
      </c>
      <c r="C3" t="inlineStr">
        <is>
          <t>Fried rice with prawns</t>
        </is>
      </c>
      <c r="D3" t="inlineStr">
        <is>
          <t>planned (week of 11 May 2026)</t>
        </is>
      </c>
    </row>
    <row r="4">
      <c r="A4" s="2" t="n">
        <v>46154</v>
      </c>
      <c r="B4" s="3">
        <f>IF(A4="","",TEXT(A4,"ddd"))</f>
        <v/>
      </c>
      <c r="C4" t="inlineStr">
        <is>
          <t>Steamed pomfret</t>
        </is>
      </c>
      <c r="D4" t="inlineStr">
        <is>
          <t>planned (week of 11 May 2026)</t>
        </is>
      </c>
    </row>
    <row r="5">
      <c r="A5" s="2" t="n">
        <v>46154</v>
      </c>
      <c r="B5" s="3">
        <f>IF(A5="","",TEXT(A5,"ddd"))</f>
        <v/>
      </c>
      <c r="C5" t="inlineStr">
        <is>
          <t>Pork rib king</t>
        </is>
      </c>
      <c r="D5" t="inlineStr">
        <is>
          <t>planned (week of 11 May 2026)</t>
        </is>
      </c>
    </row>
    <row r="6">
      <c r="A6" s="2" t="n">
        <v>46154</v>
      </c>
      <c r="B6" s="3">
        <f>IF(A6="","",TEXT(A6,"ddd"))</f>
        <v/>
      </c>
      <c r="C6" t="inlineStr">
        <is>
          <t>Eggplant with minced pork</t>
        </is>
      </c>
      <c r="D6" t="inlineStr">
        <is>
          <t>planned (week of 11 May 2026)</t>
        </is>
      </c>
    </row>
    <row r="7">
      <c r="A7" s="2" t="n">
        <v>46155</v>
      </c>
      <c r="B7" s="3">
        <f>IF(A7="","",TEXT(A7,"ddd"))</f>
        <v/>
      </c>
      <c r="C7" t="inlineStr">
        <is>
          <t>Ee-fu mee</t>
        </is>
      </c>
      <c r="D7" t="inlineStr">
        <is>
          <t>planned (week of 11 May 2026)</t>
        </is>
      </c>
    </row>
    <row r="8">
      <c r="A8" s="2" t="n">
        <v>46155</v>
      </c>
      <c r="B8" s="3">
        <f>IF(A8="","",TEXT(A8,"ddd"))</f>
        <v/>
      </c>
      <c r="C8" t="inlineStr">
        <is>
          <t>HK style steamed seabass</t>
        </is>
      </c>
      <c r="D8" t="inlineStr">
        <is>
          <t>planned (week of 11 May 2026)</t>
        </is>
      </c>
    </row>
    <row r="9">
      <c r="A9" s="2" t="n">
        <v>46156</v>
      </c>
      <c r="B9" s="3">
        <f>IF(A9="","",TEXT(A9,"ddd"))</f>
        <v/>
      </c>
      <c r="C9" t="inlineStr">
        <is>
          <t>Steamed egg (ah gong style)</t>
        </is>
      </c>
      <c r="D9" t="inlineStr">
        <is>
          <t>planned (week of 11 May 2026)</t>
        </is>
      </c>
    </row>
    <row r="10">
      <c r="A10" s="2" t="n">
        <v>46156</v>
      </c>
      <c r="B10" s="3">
        <f>IF(A10="","",TEXT(A10,"ddd"))</f>
        <v/>
      </c>
      <c r="C10" t="inlineStr">
        <is>
          <t>Radish pork rib soup with dates</t>
        </is>
      </c>
      <c r="D10" t="inlineStr">
        <is>
          <t>planned (week of 11 May 2026)</t>
        </is>
      </c>
    </row>
    <row r="11">
      <c r="A11" s="2" t="n">
        <v>46156</v>
      </c>
      <c r="B11" s="3">
        <f>IF(A11="","",TEXT(A11,"ddd"))</f>
        <v/>
      </c>
      <c r="C11" t="inlineStr">
        <is>
          <t>Wasabi mayo prawns</t>
        </is>
      </c>
      <c r="D11" t="inlineStr">
        <is>
          <t>planned (week of 11 May 2026)</t>
        </is>
      </c>
    </row>
    <row r="12">
      <c r="A12" s="2" t="n">
        <v>46157</v>
      </c>
      <c r="B12" s="3">
        <f>IF(A12="","",TEXT(A12,"ddd"))</f>
        <v/>
      </c>
      <c r="C12" t="inlineStr">
        <is>
          <t>Chicken chop</t>
        </is>
      </c>
      <c r="D12" t="inlineStr">
        <is>
          <t>planned (week of 11 May 2026)</t>
        </is>
      </c>
    </row>
    <row r="13">
      <c r="A13" s="2" t="n">
        <v>46157</v>
      </c>
      <c r="B13" s="3">
        <f>IF(A13="","",TEXT(A13,"ddd"))</f>
        <v/>
      </c>
      <c r="C13" t="inlineStr">
        <is>
          <t>Mash potatoes</t>
        </is>
      </c>
      <c r="D13" t="inlineStr">
        <is>
          <t>planned (week of 11 May 2026)</t>
        </is>
      </c>
    </row>
    <row r="14">
      <c r="A14" s="2" t="n">
        <v>46157</v>
      </c>
      <c r="B14" s="3">
        <f>IF(A14="","",TEXT(A14,"ddd"))</f>
        <v/>
      </c>
      <c r="C14" t="inlineStr">
        <is>
          <t>Roasted vegetables (oven)</t>
        </is>
      </c>
      <c r="D14" t="inlineStr">
        <is>
          <t>planned (week of 11 May 2026)</t>
        </is>
      </c>
    </row>
    <row r="15">
      <c r="A15" s="2" t="n">
        <v>46159</v>
      </c>
      <c r="B15" s="3">
        <f>IF(A15="","",TEXT(A15,"ddd"))</f>
        <v/>
      </c>
      <c r="C15" t="inlineStr">
        <is>
          <t>Rösti</t>
        </is>
      </c>
      <c r="D15" t="inlineStr">
        <is>
          <t>planned (week of 18 May 2026)</t>
        </is>
      </c>
    </row>
    <row r="16">
      <c r="A16" s="2" t="n">
        <v>46160</v>
      </c>
      <c r="B16" s="3">
        <f>IF(A16="","",TEXT(A16,"ddd"))</f>
        <v/>
      </c>
      <c r="C16" t="inlineStr">
        <is>
          <t>Chicken noodle soup</t>
        </is>
      </c>
      <c r="D16" t="inlineStr">
        <is>
          <t>planned (week of 18 May 2026)</t>
        </is>
      </c>
    </row>
    <row r="17">
      <c r="A17" s="2" t="n">
        <v>46161</v>
      </c>
      <c r="B17" s="3">
        <f>IF(A17="","",TEXT(A17,"ddd"))</f>
        <v/>
      </c>
      <c r="C17" t="inlineStr">
        <is>
          <t>Sweet and sour pork</t>
        </is>
      </c>
      <c r="D17" t="inlineStr">
        <is>
          <t>planned (week of 18 May 2026)</t>
        </is>
      </c>
    </row>
    <row r="18">
      <c r="A18" s="2" t="n">
        <v>46161</v>
      </c>
      <c r="B18" s="3">
        <f>IF(A18="","",TEXT(A18,"ddd"))</f>
        <v/>
      </c>
      <c r="C18" t="inlineStr">
        <is>
          <t>Prawn pancake</t>
        </is>
      </c>
      <c r="D18" t="inlineStr">
        <is>
          <t>planned (week of 18 May 2026)</t>
        </is>
      </c>
    </row>
    <row r="19">
      <c r="A19" s="2" t="n">
        <v>46161</v>
      </c>
      <c r="B19" s="3">
        <f>IF(A19="","",TEXT(A19,"ddd"))</f>
        <v/>
      </c>
      <c r="C19" t="inlineStr">
        <is>
          <t>Stir fried dou miao</t>
        </is>
      </c>
      <c r="D19" t="inlineStr">
        <is>
          <t>planned (week of 18 May 2026)</t>
        </is>
      </c>
    </row>
    <row r="20">
      <c r="A20" s="2" t="n">
        <v>46162</v>
      </c>
      <c r="B20" s="3">
        <f>IF(A20="","",TEXT(A20,"ddd"))</f>
        <v/>
      </c>
      <c r="C20" t="inlineStr">
        <is>
          <t>Japanese curry rice</t>
        </is>
      </c>
      <c r="D20" t="inlineStr">
        <is>
          <t>planned (week of 18 May 2026)</t>
        </is>
      </c>
    </row>
    <row r="21">
      <c r="A21" s="2" t="n">
        <v>46164</v>
      </c>
      <c r="B21" s="3">
        <f>IF(A21="","",TEXT(A21,"ddd"))</f>
        <v/>
      </c>
      <c r="C21" t="inlineStr">
        <is>
          <t>Threadfin kabayaki</t>
        </is>
      </c>
      <c r="D21" t="inlineStr">
        <is>
          <t>planned (week of 18 May 2026)</t>
        </is>
      </c>
    </row>
    <row r="22">
      <c r="A22" s="2" t="n">
        <v>46164</v>
      </c>
      <c r="B22" s="3">
        <f>IF(A22="","",TEXT(A22,"ddd"))</f>
        <v/>
      </c>
      <c r="C22" t="inlineStr">
        <is>
          <t>Tamagoyaki</t>
        </is>
      </c>
      <c r="D22" t="inlineStr">
        <is>
          <t>planned (week of 18 May 2026)</t>
        </is>
      </c>
    </row>
    <row r="23">
      <c r="A23" s="2" t="n">
        <v>46167</v>
      </c>
      <c r="B23" s="3">
        <f>IF(A23="","",TEXT(A23,"ddd"))</f>
        <v/>
      </c>
      <c r="C23" t="inlineStr">
        <is>
          <t>Nasi lemak</t>
        </is>
      </c>
      <c r="D23" t="inlineStr">
        <is>
          <t>planned (week of 25 May 2026)</t>
        </is>
      </c>
    </row>
    <row r="24">
      <c r="A24" s="2" t="n">
        <v>46167</v>
      </c>
      <c r="B24" s="3">
        <f>IF(A24="","",TEXT(A24,"ddd"))</f>
        <v/>
      </c>
      <c r="C24" t="inlineStr">
        <is>
          <t>Korean fried chicken wings</t>
        </is>
      </c>
      <c r="D24" t="inlineStr">
        <is>
          <t>planned (week of 25 May 2026) — honey soy</t>
        </is>
      </c>
    </row>
    <row r="25">
      <c r="A25" s="2" t="n">
        <v>46167</v>
      </c>
      <c r="B25" s="3">
        <f>IF(A25="","",TEXT(A25,"ddd"))</f>
        <v/>
      </c>
      <c r="C25" t="inlineStr">
        <is>
          <t>Egg omelette</t>
        </is>
      </c>
      <c r="D25" t="inlineStr">
        <is>
          <t>planned (week of 25 May 2026)</t>
        </is>
      </c>
    </row>
    <row r="26">
      <c r="A26" s="2" t="n">
        <v>46167</v>
      </c>
      <c r="B26" s="3">
        <f>IF(A26="","",TEXT(A26,"ddd"))</f>
        <v/>
      </c>
      <c r="C26" t="inlineStr">
        <is>
          <t>Sambal kangkong</t>
        </is>
      </c>
      <c r="D26" t="inlineStr">
        <is>
          <t>planned (week of 25 May 2026)</t>
        </is>
      </c>
    </row>
    <row r="27">
      <c r="A27" s="2" t="n">
        <v>46167</v>
      </c>
      <c r="B27" s="3">
        <f>IF(A27="","",TEXT(A27,"ddd"))</f>
        <v/>
      </c>
      <c r="C27" t="inlineStr">
        <is>
          <t>Ikan bilis</t>
        </is>
      </c>
      <c r="D27" t="inlineStr">
        <is>
          <t>planned (week of 25 May 2026)</t>
        </is>
      </c>
    </row>
    <row r="28">
      <c r="A28" s="2" t="n">
        <v>46168</v>
      </c>
      <c r="B28" s="3">
        <f>IF(A28="","",TEXT(A28,"ddd"))</f>
        <v/>
      </c>
      <c r="C28" t="inlineStr">
        <is>
          <t>Beancurd meat rolls</t>
        </is>
      </c>
      <c r="D28" t="inlineStr">
        <is>
          <t>planned (week of 25 May 2026)</t>
        </is>
      </c>
    </row>
    <row r="29">
      <c r="A29" s="2" t="n">
        <v>46168</v>
      </c>
      <c r="B29" s="3">
        <f>IF(A29="","",TEXT(A29,"ddd"))</f>
        <v/>
      </c>
      <c r="C29" t="inlineStr">
        <is>
          <t>Fried yellow croaker</t>
        </is>
      </c>
      <c r="D29" t="inlineStr">
        <is>
          <t>planned (week of 25 May 2026)</t>
        </is>
      </c>
    </row>
    <row r="30">
      <c r="A30" s="2" t="n">
        <v>46168</v>
      </c>
      <c r="B30" s="3">
        <f>IF(A30="","",TEXT(A30,"ddd"))</f>
        <v/>
      </c>
      <c r="C30" t="inlineStr">
        <is>
          <t>Lotus root pork rib soup</t>
        </is>
      </c>
      <c r="D30" t="inlineStr">
        <is>
          <t>planned (week of 25 May 2026)</t>
        </is>
      </c>
    </row>
    <row r="31">
      <c r="A31" s="2" t="n">
        <v>46170</v>
      </c>
      <c r="B31" s="3">
        <f>IF(A31="","",TEXT(A31,"ddd"))</f>
        <v/>
      </c>
      <c r="C31" t="inlineStr">
        <is>
          <t>Steamed egg tofu with minced pork</t>
        </is>
      </c>
      <c r="D31" t="inlineStr">
        <is>
          <t>planned (week of 25 May 2026) — with dried scallop</t>
        </is>
      </c>
    </row>
    <row r="32">
      <c r="A32" s="2" t="n">
        <v>46170</v>
      </c>
      <c r="B32" s="3">
        <f>IF(A32="","",TEXT(A32,"ddd"))</f>
        <v/>
      </c>
      <c r="C32" t="inlineStr">
        <is>
          <t>Pandan chicken</t>
        </is>
      </c>
      <c r="D32" t="inlineStr">
        <is>
          <t>planned (week of 25 May 2026)</t>
        </is>
      </c>
    </row>
    <row r="33">
      <c r="A33" s="2" t="n">
        <v>46170</v>
      </c>
      <c r="B33" s="3">
        <f>IF(A33="","",TEXT(A33,"ddd"))</f>
        <v/>
      </c>
      <c r="C33" t="inlineStr">
        <is>
          <t>Stir fried vegetable</t>
        </is>
      </c>
      <c r="D33" t="inlineStr">
        <is>
          <t>planned (week of 25 May 2026)</t>
        </is>
      </c>
    </row>
    <row r="34">
      <c r="A34" s="2" t="n">
        <v>46171</v>
      </c>
      <c r="B34" s="3">
        <f>IF(A34="","",TEXT(A34,"ddd"))</f>
        <v/>
      </c>
      <c r="C34" t="inlineStr">
        <is>
          <t>Beef stew</t>
        </is>
      </c>
      <c r="D34" t="inlineStr">
        <is>
          <t>planned (week of 25 May 2026)</t>
        </is>
      </c>
    </row>
    <row r="35">
      <c r="A35" s="2" t="n">
        <v>46171</v>
      </c>
      <c r="B35" s="3">
        <f>IF(A35="","",TEXT(A35,"ddd"))</f>
        <v/>
      </c>
      <c r="C35" t="inlineStr">
        <is>
          <t>Garlic bread</t>
        </is>
      </c>
      <c r="D35" t="inlineStr">
        <is>
          <t>planned (week of 25 May 2026)</t>
        </is>
      </c>
    </row>
    <row r="36">
      <c r="A36" s="2" t="n">
        <v>46168</v>
      </c>
      <c r="B36" s="3">
        <f>IF(A36="","",TEXT(A36,"ddd"))</f>
        <v/>
      </c>
      <c r="C36" t="inlineStr">
        <is>
          <t>Japanese mushroom rice</t>
        </is>
      </c>
      <c r="D36" t="inlineStr">
        <is>
          <t>planned (week of 25 May 2026)</t>
        </is>
      </c>
    </row>
    <row r="37">
      <c r="A37" s="2" t="n">
        <v>46173</v>
      </c>
      <c r="B37" s="3">
        <f>IF(A37="","",TEXT(A37,"ddd"))</f>
        <v/>
      </c>
      <c r="C37" t="inlineStr">
        <is>
          <t>Spinach ban mian</t>
        </is>
      </c>
      <c r="D37" t="inlineStr">
        <is>
          <t>planned (week of 1 Jun 2026)</t>
        </is>
      </c>
    </row>
    <row r="38">
      <c r="A38" s="2" t="n">
        <v>46175</v>
      </c>
      <c r="B38" s="3">
        <f>IF(A38="","",TEXT(A38,"ddd"))</f>
        <v/>
      </c>
      <c r="C38" t="inlineStr">
        <is>
          <t>Japanese miso butter mushroom</t>
        </is>
      </c>
      <c r="D38" t="inlineStr">
        <is>
          <t>planned (week of 1 Jun 2026)</t>
        </is>
      </c>
    </row>
    <row r="39">
      <c r="A39" s="2" t="n">
        <v>46175</v>
      </c>
      <c r="B39" s="3">
        <f>IF(A39="","",TEXT(A39,"ddd"))</f>
        <v/>
      </c>
      <c r="C39" t="inlineStr">
        <is>
          <t>Fishball minced pork soup</t>
        </is>
      </c>
      <c r="D39" t="inlineStr">
        <is>
          <t>planned (week of 1 Jun 2026)</t>
        </is>
      </c>
    </row>
    <row r="40">
      <c r="A40" s="2" t="n">
        <v>46175</v>
      </c>
      <c r="B40" s="3">
        <f>IF(A40="","",TEXT(A40,"ddd"))</f>
        <v/>
      </c>
      <c r="C40" t="inlineStr">
        <is>
          <t>Sticky pork belly</t>
        </is>
      </c>
      <c r="D40" t="inlineStr">
        <is>
          <t>planned (week of 1 Jun 2026)</t>
        </is>
      </c>
    </row>
    <row r="41">
      <c r="A41" s="2" t="n">
        <v>46176</v>
      </c>
      <c r="B41" s="3">
        <f>IF(A41="","",TEXT(A41,"ddd"))</f>
        <v/>
      </c>
      <c r="C41" t="inlineStr">
        <is>
          <t>Cheesy baked rice</t>
        </is>
      </c>
      <c r="D41" t="inlineStr">
        <is>
          <t>planned (week of 1 Jun 2026)</t>
        </is>
      </c>
    </row>
    <row r="42">
      <c r="A42" s="2" t="n">
        <v>46177</v>
      </c>
      <c r="B42" s="3">
        <f>IF(A42="","",TEXT(A42,"ddd"))</f>
        <v/>
      </c>
      <c r="C42" t="inlineStr">
        <is>
          <t>Claypot tofu</t>
        </is>
      </c>
      <c r="D42" t="inlineStr">
        <is>
          <t>planned (week of 1 Jun 2026)</t>
        </is>
      </c>
    </row>
    <row r="43">
      <c r="A43" s="2" t="n">
        <v>46177</v>
      </c>
      <c r="B43" s="3">
        <f>IF(A43="","",TEXT(A43,"ddd"))</f>
        <v/>
      </c>
      <c r="C43" t="inlineStr">
        <is>
          <t>Yang Zhou fried rice</t>
        </is>
      </c>
      <c r="D43" t="inlineStr">
        <is>
          <t>planned (week of 1 Jun 2026)</t>
        </is>
      </c>
    </row>
    <row r="44">
      <c r="A44" s="2" t="n">
        <v>46178</v>
      </c>
      <c r="B44" s="3">
        <f>IF(A44="","",TEXT(A44,"ddd"))</f>
        <v/>
      </c>
      <c r="C44" t="inlineStr">
        <is>
          <t>Stir fried bee hoon</t>
        </is>
      </c>
      <c r="D44" t="inlineStr">
        <is>
          <t>planned (week of 1 Jun 2026)</t>
        </is>
      </c>
    </row>
    <row r="45">
      <c r="A45" s="2" t="n">
        <v>46178</v>
      </c>
      <c r="B45" s="3">
        <f>IF(A45="","",TEXT(A45,"ddd"))</f>
        <v/>
      </c>
      <c r="C45" t="inlineStr">
        <is>
          <t>Thai fishcakes</t>
        </is>
      </c>
      <c r="D45" t="inlineStr">
        <is>
          <t>planned (week of 1 Jun 2026)</t>
        </is>
      </c>
    </row>
    <row r="46">
      <c r="A46" s="2" t="n">
        <v>46181</v>
      </c>
      <c r="B46" s="3">
        <f>IF(A46="","",TEXT(A46,"ddd"))</f>
        <v/>
      </c>
      <c r="C46" t="inlineStr">
        <is>
          <t>Prawn noodle soup</t>
        </is>
      </c>
      <c r="D46" t="inlineStr">
        <is>
          <t>planned (week of 8 Jun 2026)</t>
        </is>
      </c>
    </row>
    <row r="47">
      <c r="A47" s="2" t="n">
        <v>46182</v>
      </c>
      <c r="B47" s="3">
        <f>IF(A47="","",TEXT(A47,"ddd"))</f>
        <v/>
      </c>
      <c r="C47" t="inlineStr">
        <is>
          <t>Steamed pomfret</t>
        </is>
      </c>
      <c r="D47" t="inlineStr">
        <is>
          <t>planned (week of 8 Jun 2026)</t>
        </is>
      </c>
    </row>
    <row r="48">
      <c r="A48" s="2" t="n">
        <v>46182</v>
      </c>
      <c r="B48" s="3">
        <f>IF(A48="","",TEXT(A48,"ddd"))</f>
        <v/>
      </c>
      <c r="C48" t="inlineStr">
        <is>
          <t>Stir fried dou miao</t>
        </is>
      </c>
      <c r="D48" t="inlineStr">
        <is>
          <t>planned (week of 8 Jun 2026)</t>
        </is>
      </c>
    </row>
    <row r="49">
      <c r="A49" s="2" t="n">
        <v>46182</v>
      </c>
      <c r="B49" s="3">
        <f>IF(A49="","",TEXT(A49,"ddd"))</f>
        <v/>
      </c>
      <c r="C49" t="inlineStr">
        <is>
          <t>Tomato egg</t>
        </is>
      </c>
      <c r="D49" t="inlineStr">
        <is>
          <t>planned (week of 8 Jun 2026)</t>
        </is>
      </c>
    </row>
    <row r="50">
      <c r="A50" s="2" t="n">
        <v>46183</v>
      </c>
      <c r="B50" s="3">
        <f>IF(A50="","",TEXT(A50,"ddd"))</f>
        <v/>
      </c>
      <c r="C50" t="inlineStr">
        <is>
          <t>Baked salmon with herbs</t>
        </is>
      </c>
      <c r="D50" t="inlineStr">
        <is>
          <t>planned (week of 8 Jun 2026)</t>
        </is>
      </c>
    </row>
    <row r="51">
      <c r="A51" s="2" t="n">
        <v>46183</v>
      </c>
      <c r="B51" s="3">
        <f>IF(A51="","",TEXT(A51,"ddd"))</f>
        <v/>
      </c>
      <c r="C51" t="inlineStr">
        <is>
          <t>Roasted vegetables (oven)</t>
        </is>
      </c>
      <c r="D51" t="inlineStr">
        <is>
          <t>planned (week of 8 Jun 2026) — grilled veg</t>
        </is>
      </c>
    </row>
    <row r="52">
      <c r="A52" s="2" t="n">
        <v>46183</v>
      </c>
      <c r="B52" s="3">
        <f>IF(A52="","",TEXT(A52,"ddd"))</f>
        <v/>
      </c>
      <c r="C52" t="inlineStr">
        <is>
          <t>Mushroom soup</t>
        </is>
      </c>
      <c r="D52" t="inlineStr">
        <is>
          <t>planned (week of 8 Jun 2026)</t>
        </is>
      </c>
    </row>
    <row r="53">
      <c r="A53" s="2" t="n">
        <v>46183</v>
      </c>
      <c r="B53" s="3">
        <f>IF(A53="","",TEXT(A53,"ddd"))</f>
        <v/>
      </c>
      <c r="C53" t="inlineStr">
        <is>
          <t>Garlic bread</t>
        </is>
      </c>
      <c r="D53" t="inlineStr">
        <is>
          <t>planned (week of 8 Jun 2026)</t>
        </is>
      </c>
    </row>
    <row r="54">
      <c r="A54" s="2" t="n">
        <v>46184</v>
      </c>
      <c r="B54" s="3">
        <f>IF(A54="","",TEXT(A54,"ddd"))</f>
        <v/>
      </c>
      <c r="C54" t="inlineStr">
        <is>
          <t>Stir-fry beef ramen</t>
        </is>
      </c>
      <c r="D54" t="inlineStr">
        <is>
          <t>planned (week of 8 Jun 2026)</t>
        </is>
      </c>
    </row>
    <row r="55">
      <c r="A55" s="2" t="n">
        <v>46184</v>
      </c>
      <c r="B55" s="3">
        <f>IF(A55="","",TEXT(A55,"ddd"))</f>
        <v/>
      </c>
      <c r="C55" t="inlineStr">
        <is>
          <t>Radish pork rib soup with dates</t>
        </is>
      </c>
      <c r="D55" t="inlineStr">
        <is>
          <t>planned (week of 8 Jun 2026)</t>
        </is>
      </c>
    </row>
    <row r="56">
      <c r="A56" s="2" t="n">
        <v>46185</v>
      </c>
      <c r="B56" s="3">
        <f>IF(A56="","",TEXT(A56,"ddd"))</f>
        <v/>
      </c>
      <c r="C56" t="inlineStr">
        <is>
          <t>HK steamed chicken rice</t>
        </is>
      </c>
      <c r="D56" t="inlineStr">
        <is>
          <t>planned (week of 8 Jun 2026)</t>
        </is>
      </c>
    </row>
    <row r="57">
      <c r="A57" s="2" t="n">
        <v>46188</v>
      </c>
      <c r="B57" s="3">
        <f>IF(A57="","",TEXT(A57,"ddd"))</f>
        <v/>
      </c>
      <c r="C57" t="inlineStr">
        <is>
          <t>Claypot Mee Tai Bak</t>
        </is>
      </c>
      <c r="D57" t="inlineStr">
        <is>
          <t>planned (week of 15 Jun 2026)</t>
        </is>
      </c>
    </row>
    <row r="58">
      <c r="A58" s="2" t="n">
        <v>46189</v>
      </c>
      <c r="B58" s="3">
        <f>IF(A58="","",TEXT(A58,"ddd"))</f>
        <v/>
      </c>
      <c r="C58" t="inlineStr">
        <is>
          <t>Fried threadfin with onion</t>
        </is>
      </c>
      <c r="D58" t="inlineStr">
        <is>
          <t>planned (week of 15 Jun 2026)</t>
        </is>
      </c>
    </row>
    <row r="59">
      <c r="A59" s="2" t="n">
        <v>46189</v>
      </c>
      <c r="B59" s="3">
        <f>IF(A59="","",TEXT(A59,"ddd"))</f>
        <v/>
      </c>
      <c r="C59" t="inlineStr">
        <is>
          <t>Stir-fried eggs and prawns</t>
        </is>
      </c>
      <c r="D59" t="inlineStr">
        <is>
          <t>planned (week of 15 Jun 2026)</t>
        </is>
      </c>
    </row>
    <row r="60">
      <c r="A60" s="2" t="n">
        <v>46189</v>
      </c>
      <c r="B60" s="3">
        <f>IF(A60="","",TEXT(A60,"ddd"))</f>
        <v/>
      </c>
      <c r="C60" t="inlineStr">
        <is>
          <t>Hainanese chap chye</t>
        </is>
      </c>
      <c r="D60" t="inlineStr">
        <is>
          <t>planned (week of 15 Jun 2026)</t>
        </is>
      </c>
    </row>
    <row r="61">
      <c r="A61" s="2" t="n">
        <v>46190</v>
      </c>
      <c r="B61" s="3">
        <f>IF(A61="","",TEXT(A61,"ddd"))</f>
        <v/>
      </c>
      <c r="C61" t="inlineStr">
        <is>
          <t>Shimeji spinach tofu</t>
        </is>
      </c>
      <c r="D61" t="inlineStr">
        <is>
          <t>planned (week of 15 Jun 2026)</t>
        </is>
      </c>
    </row>
    <row r="62">
      <c r="A62" s="2" t="n">
        <v>46191</v>
      </c>
      <c r="B62" s="3">
        <f>IF(A62="","",TEXT(A62,"ddd"))</f>
        <v/>
      </c>
      <c r="C62" t="inlineStr">
        <is>
          <t>Taiwanese fried rice</t>
        </is>
      </c>
      <c r="D62" t="inlineStr">
        <is>
          <t>planned (week of 15 Jun 2026)</t>
        </is>
      </c>
    </row>
    <row r="63">
      <c r="A63" s="2" t="n">
        <v>46191</v>
      </c>
      <c r="B63" s="3">
        <f>IF(A63="","",TEXT(A63,"ddd"))</f>
        <v/>
      </c>
      <c r="C63" t="inlineStr">
        <is>
          <t>Tonjiru</t>
        </is>
      </c>
      <c r="D63" t="inlineStr">
        <is>
          <t>planned (week of 15 Jun 2026)</t>
        </is>
      </c>
    </row>
    <row r="64">
      <c r="A64" s="2" t="n">
        <v>46192</v>
      </c>
      <c r="B64" s="3">
        <f>IF(A64="","",TEXT(A64,"ddd"))</f>
        <v/>
      </c>
      <c r="C64" t="inlineStr">
        <is>
          <t>Chicken chop &amp; mushroom noodles</t>
        </is>
      </c>
      <c r="D64" t="inlineStr">
        <is>
          <t>planned (week of 15 Jun 2026)</t>
        </is>
      </c>
    </row>
    <row r="65">
      <c r="A65" s="2" t="n">
        <v>46188</v>
      </c>
      <c r="B65" s="3">
        <f>IF(A65="","",TEXT(A65,"ddd"))</f>
        <v/>
      </c>
      <c r="C65" t="inlineStr">
        <is>
          <t>Watercress pork rib soup</t>
        </is>
      </c>
      <c r="D65" t="inlineStr">
        <is>
          <t>planned (week of 15 Jun 2026)</t>
        </is>
      </c>
    </row>
    <row r="66">
      <c r="A66" s="2" t="n">
        <v>46190</v>
      </c>
      <c r="B66" s="3">
        <f>IF(A66="","",TEXT(A66,"ddd"))</f>
        <v/>
      </c>
      <c r="C66" t="inlineStr">
        <is>
          <t>Stir-fried eggplant and long bean with dried shrimp</t>
        </is>
      </c>
      <c r="D66" t="inlineStr">
        <is>
          <t>planned (week of 15 Jun 2026)</t>
        </is>
      </c>
    </row>
    <row r="67">
      <c r="A67" s="2" t="n">
        <v>46190</v>
      </c>
      <c r="B67" s="3">
        <f>IF(A67="","",TEXT(A67,"ddd"))</f>
        <v/>
      </c>
      <c r="C67" t="inlineStr">
        <is>
          <t>Spring onion beef stir fry</t>
        </is>
      </c>
      <c r="D67" t="inlineStr">
        <is>
          <t>planned (week of 15 Jun 2026)</t>
        </is>
      </c>
    </row>
    <row r="68">
      <c r="A68" s="2" t="n">
        <v>46194</v>
      </c>
      <c r="B68" s="3">
        <f>IF(A68="","",TEXT(A68,"ddd"))</f>
        <v/>
      </c>
      <c r="C68" t="inlineStr">
        <is>
          <t>Minestrone soup</t>
        </is>
      </c>
      <c r="D68" t="inlineStr">
        <is>
          <t>planned (week of 22 Jun 2026)</t>
        </is>
      </c>
    </row>
    <row r="69">
      <c r="A69" s="2" t="n">
        <v>46195</v>
      </c>
      <c r="B69" s="3">
        <f>IF(A69="","",TEXT(A69,"ddd"))</f>
        <v/>
      </c>
      <c r="C69" t="inlineStr">
        <is>
          <t>Chinese yam and chicken soup</t>
        </is>
      </c>
      <c r="D69" t="inlineStr">
        <is>
          <t>planned (week of 22 Jun 2026)</t>
        </is>
      </c>
    </row>
    <row r="70">
      <c r="A70" s="2" t="n">
        <v>46195</v>
      </c>
      <c r="B70" s="3">
        <f>IF(A70="","",TEXT(A70,"ddd"))</f>
        <v/>
      </c>
      <c r="C70" t="inlineStr">
        <is>
          <t>Pork rib king</t>
        </is>
      </c>
      <c r="D70" t="inlineStr">
        <is>
          <t>planned (week of 22 Jun 2026)</t>
        </is>
      </c>
    </row>
    <row r="71">
      <c r="A71" s="2" t="n">
        <v>46195</v>
      </c>
      <c r="B71" s="3">
        <f>IF(A71="","",TEXT(A71,"ddd"))</f>
        <v/>
      </c>
      <c r="C71" t="inlineStr">
        <is>
          <t>Stir fried vegetable</t>
        </is>
      </c>
      <c r="D71" t="inlineStr">
        <is>
          <t>planned (week of 22 Jun 2026)</t>
        </is>
      </c>
    </row>
    <row r="72">
      <c r="A72" s="2" t="n">
        <v>46196</v>
      </c>
      <c r="B72" s="3">
        <f>IF(A72="","",TEXT(A72,"ddd"))</f>
        <v/>
      </c>
      <c r="C72" t="inlineStr">
        <is>
          <t>Korean fried chicken wings</t>
        </is>
      </c>
      <c r="D72" t="inlineStr">
        <is>
          <t>planned (week of 22 Jun 2026) — soy</t>
        </is>
      </c>
    </row>
    <row r="73">
      <c r="A73" s="2" t="n">
        <v>46196</v>
      </c>
      <c r="B73" s="3">
        <f>IF(A73="","",TEXT(A73,"ddd"))</f>
        <v/>
      </c>
      <c r="C73" t="inlineStr">
        <is>
          <t>Tomato egg</t>
        </is>
      </c>
      <c r="D73" t="inlineStr">
        <is>
          <t>planned (week of 22 Jun 2026)</t>
        </is>
      </c>
    </row>
    <row r="74">
      <c r="A74" s="2" t="n">
        <v>46196</v>
      </c>
      <c r="B74" s="3">
        <f>IF(A74="","",TEXT(A74,"ddd"))</f>
        <v/>
      </c>
      <c r="C74" t="inlineStr">
        <is>
          <t>Lotus root pork rib soup</t>
        </is>
      </c>
      <c r="D74" t="inlineStr">
        <is>
          <t>planned (week of 22 Jun 2026)</t>
        </is>
      </c>
    </row>
    <row r="75">
      <c r="A75" s="2" t="n">
        <v>46197</v>
      </c>
      <c r="B75" s="3">
        <f>IF(A75="","",TEXT(A75,"ddd"))</f>
        <v/>
      </c>
      <c r="C75" t="inlineStr">
        <is>
          <t>Stir fried bee hoon</t>
        </is>
      </c>
      <c r="D75" t="inlineStr">
        <is>
          <t>planned (week of 22 Jun 2026) — Sin Chew style</t>
        </is>
      </c>
    </row>
    <row r="76">
      <c r="A76" s="2" t="n">
        <v>46197</v>
      </c>
      <c r="B76" s="3">
        <f>IF(A76="","",TEXT(A76,"ddd"))</f>
        <v/>
      </c>
      <c r="C76" t="inlineStr">
        <is>
          <t>Fishball and baby spinach soup</t>
        </is>
      </c>
      <c r="D76" t="inlineStr">
        <is>
          <t>planned (week of 22 Jun 2026)</t>
        </is>
      </c>
    </row>
    <row r="77">
      <c r="A77" s="2" t="n">
        <v>46198</v>
      </c>
      <c r="B77" s="3">
        <f>IF(A77="","",TEXT(A77,"ddd"))</f>
        <v/>
      </c>
      <c r="C77" t="inlineStr">
        <is>
          <t>Stir-fried potatoes &amp; carrots with minced meat</t>
        </is>
      </c>
      <c r="D77" t="inlineStr">
        <is>
          <t>planned (week of 22 Jun 2026) — + tomato</t>
        </is>
      </c>
    </row>
    <row r="78">
      <c r="A78" s="2" t="n">
        <v>46198</v>
      </c>
      <c r="B78" s="3">
        <f>IF(A78="","",TEXT(A78,"ddd"))</f>
        <v/>
      </c>
      <c r="C78" t="inlineStr">
        <is>
          <t>Fried fish with Thai sweet chilli</t>
        </is>
      </c>
      <c r="D78" t="inlineStr">
        <is>
          <t>planned (week of 22 Jun 2026)</t>
        </is>
      </c>
    </row>
    <row r="79">
      <c r="A79" s="2" t="n">
        <v>46198</v>
      </c>
      <c r="B79" s="3">
        <f>IF(A79="","",TEXT(A79,"ddd"))</f>
        <v/>
      </c>
      <c r="C79" t="inlineStr">
        <is>
          <t>Steamed egg (ah gong style)</t>
        </is>
      </c>
      <c r="D79" t="inlineStr">
        <is>
          <t>planned (week of 22 Jun 2026)</t>
        </is>
      </c>
    </row>
    <row r="80">
      <c r="A80" s="2" t="n">
        <v>46199</v>
      </c>
      <c r="B80" s="3">
        <f>IF(A80="","",TEXT(A80,"ddd"))</f>
        <v/>
      </c>
      <c r="C80" t="inlineStr">
        <is>
          <t>HK baked pork chop rice</t>
        </is>
      </c>
      <c r="D80" t="inlineStr">
        <is>
          <t>planned (week of 22 Jun 2026)</t>
        </is>
      </c>
    </row>
    <row r="81">
      <c r="A81" s="2" t="n">
        <v>46201</v>
      </c>
      <c r="B81" s="3">
        <f>IF(A81="","",TEXT(A81,"ddd"))</f>
        <v/>
      </c>
      <c r="C81" t="inlineStr">
        <is>
          <t>Shepherd's pie</t>
        </is>
      </c>
      <c r="D81" t="inlineStr">
        <is>
          <t>planned (week of 29 Jun 2026) — beef mince, 2 pax</t>
        </is>
      </c>
    </row>
    <row r="82">
      <c r="A82" s="2" t="n">
        <v>46202</v>
      </c>
      <c r="B82" s="3">
        <f>IF(A82="","",TEXT(A82,"ddd"))</f>
        <v/>
      </c>
      <c r="C82" t="inlineStr">
        <is>
          <t>Potato gratin</t>
        </is>
      </c>
      <c r="D82" t="inlineStr">
        <is>
          <t>planned (week of 29 Jun 2026) — au gratin</t>
        </is>
      </c>
    </row>
    <row r="83">
      <c r="A83" s="2" t="n">
        <v>46202</v>
      </c>
      <c r="B83" s="3">
        <f>IF(A83="","",TEXT(A83,"ddd"))</f>
        <v/>
      </c>
      <c r="C83" t="inlineStr">
        <is>
          <t>Oven baked chicken leg</t>
        </is>
      </c>
      <c r="D83" t="inlineStr">
        <is>
          <t>planned (week of 29 Jun 2026)</t>
        </is>
      </c>
    </row>
    <row r="84">
      <c r="A84" s="2" t="n">
        <v>46202</v>
      </c>
      <c r="B84" s="3">
        <f>IF(A84="","",TEXT(A84,"ddd"))</f>
        <v/>
      </c>
      <c r="C84" t="inlineStr">
        <is>
          <t>Grilled asparagus</t>
        </is>
      </c>
      <c r="D84" t="inlineStr">
        <is>
          <t>planned (week of 29 Jun 2026)</t>
        </is>
      </c>
    </row>
    <row r="85">
      <c r="A85" s="2" t="n">
        <v>46203</v>
      </c>
      <c r="B85" s="3">
        <f>IF(A85="","",TEXT(A85,"ddd"))</f>
        <v/>
      </c>
      <c r="C85" t="inlineStr">
        <is>
          <t>Baked potatoes</t>
        </is>
      </c>
      <c r="D85" t="inlineStr">
        <is>
          <t>planned (week of 29 Jun 2026)</t>
        </is>
      </c>
    </row>
    <row r="86">
      <c r="A86" s="2" t="n">
        <v>46203</v>
      </c>
      <c r="B86" s="3">
        <f>IF(A86="","",TEXT(A86,"ddd"))</f>
        <v/>
      </c>
      <c r="C86" t="inlineStr">
        <is>
          <t>Chicken chop</t>
        </is>
      </c>
      <c r="D86" t="inlineStr">
        <is>
          <t>planned (week of 29 Jun 2026)</t>
        </is>
      </c>
    </row>
    <row r="87">
      <c r="A87" s="2" t="n">
        <v>46203</v>
      </c>
      <c r="B87" s="3">
        <f>IF(A87="","",TEXT(A87,"ddd"))</f>
        <v/>
      </c>
      <c r="C87" t="inlineStr">
        <is>
          <t>Roasted vegetables (oven)</t>
        </is>
      </c>
      <c r="D87" t="inlineStr">
        <is>
          <t>planned (week of 29 Jun 2026)</t>
        </is>
      </c>
    </row>
    <row r="88">
      <c r="A88" s="2" t="n">
        <v>46204</v>
      </c>
      <c r="B88" s="3">
        <f>IF(A88="","",TEXT(A88,"ddd"))</f>
        <v/>
      </c>
      <c r="C88" t="inlineStr">
        <is>
          <t>Japanese curry rice</t>
        </is>
      </c>
      <c r="D88" t="inlineStr">
        <is>
          <t>planned (week of 29 Jun 2026) — curry cubes</t>
        </is>
      </c>
    </row>
    <row r="89">
      <c r="A89" s="2" t="n">
        <v>46204</v>
      </c>
      <c r="B89" s="3">
        <f>IF(A89="","",TEXT(A89,"ddd"))</f>
        <v/>
      </c>
      <c r="C89" t="inlineStr">
        <is>
          <t>Campbell's mushroom soup</t>
        </is>
      </c>
      <c r="D89" t="inlineStr">
        <is>
          <t>planned (week of 29 Jun 2026)</t>
        </is>
      </c>
    </row>
    <row r="90">
      <c r="A90" s="2" t="n">
        <v>46205</v>
      </c>
      <c r="B90" s="3">
        <f>IF(A90="","",TEXT(A90,"ddd"))</f>
        <v/>
      </c>
      <c r="C90" t="inlineStr">
        <is>
          <t>Radish pork rib soup with dates</t>
        </is>
      </c>
      <c r="D90" t="inlineStr">
        <is>
          <t>planned (week of 29 Jun 2026)</t>
        </is>
      </c>
    </row>
    <row r="91">
      <c r="A91" s="2" t="n">
        <v>46205</v>
      </c>
      <c r="B91" s="3">
        <f>IF(A91="","",TEXT(A91,"ddd"))</f>
        <v/>
      </c>
      <c r="C91" t="inlineStr">
        <is>
          <t>Stir-fried potatoes &amp; carrots with minced meat</t>
        </is>
      </c>
      <c r="D91" t="inlineStr">
        <is>
          <t>planned (week of 29 Jun 2026) — + tomato</t>
        </is>
      </c>
    </row>
    <row r="92">
      <c r="A92" s="2" t="n">
        <v>46205</v>
      </c>
      <c r="B92" s="3">
        <f>IF(A92="","",TEXT(A92,"ddd"))</f>
        <v/>
      </c>
      <c r="C92" t="inlineStr">
        <is>
          <t>Egg omelette</t>
        </is>
      </c>
      <c r="D92" t="inlineStr">
        <is>
          <t>planned (week of 29 Jun 2026) — onion</t>
        </is>
      </c>
    </row>
    <row r="93">
      <c r="A93" s="2" t="n">
        <v>46206</v>
      </c>
      <c r="B93" s="3">
        <f>IF(A93="","",TEXT(A93,"ddd"))</f>
        <v/>
      </c>
      <c r="C93" t="inlineStr">
        <is>
          <t>Crispy roast potatoes</t>
        </is>
      </c>
      <c r="D93" t="inlineStr">
        <is>
          <t>planned (week of 29 Jun 2026)</t>
        </is>
      </c>
    </row>
    <row r="94">
      <c r="A94" s="2" t="n">
        <v>46206</v>
      </c>
      <c r="B94" s="3">
        <f>IF(A94="","",TEXT(A94,"ddd"))</f>
        <v/>
      </c>
      <c r="C94" t="inlineStr">
        <is>
          <t>Baked pork chops</t>
        </is>
      </c>
      <c r="D94" t="inlineStr">
        <is>
          <t>planned (week of 29 Jun 2026)</t>
        </is>
      </c>
    </row>
    <row r="95">
      <c r="A95" s="2" t="n">
        <v>46206</v>
      </c>
      <c r="B95" s="3">
        <f>IF(A95="","",TEXT(A95,"ddd"))</f>
        <v/>
      </c>
      <c r="C95" t="inlineStr">
        <is>
          <t>Grilled broccoli &amp; carrots</t>
        </is>
      </c>
      <c r="D95" t="inlineStr">
        <is>
          <t>planned (week of 29 Jun 2026)</t>
        </is>
      </c>
    </row>
    <row r="96">
      <c r="A96" s="2" t="n">
        <v>46208</v>
      </c>
      <c r="B96" s="3">
        <f>IF(A96="","",TEXT(A96,"ddd"))</f>
        <v/>
      </c>
      <c r="C96" t="inlineStr">
        <is>
          <t>Pasta arrabbiata</t>
        </is>
      </c>
      <c r="D96" t="inlineStr">
        <is>
          <t>planned (week of 6 Jul 2026)</t>
        </is>
      </c>
    </row>
    <row r="97">
      <c r="A97" s="2" t="n">
        <v>46209</v>
      </c>
      <c r="B97" s="3">
        <f>IF(A97="","",TEXT(A97,"ddd"))</f>
        <v/>
      </c>
      <c r="C97" t="inlineStr">
        <is>
          <t>Pulled pork burger</t>
        </is>
      </c>
      <c r="D97" t="inlineStr">
        <is>
          <t>planned (week of 6 Jul 2026)</t>
        </is>
      </c>
    </row>
    <row r="98">
      <c r="A98" s="2" t="n">
        <v>46209</v>
      </c>
      <c r="B98" s="3">
        <f>IF(A98="","",TEXT(A98,"ddd"))</f>
        <v/>
      </c>
      <c r="C98" t="inlineStr">
        <is>
          <t>Spanish omelette</t>
        </is>
      </c>
      <c r="D98" t="inlineStr">
        <is>
          <t>planned (week of 6 Jul 2026)</t>
        </is>
      </c>
    </row>
    <row r="99">
      <c r="A99" s="2" t="n">
        <v>46210</v>
      </c>
      <c r="B99" s="3">
        <f>IF(A99="","",TEXT(A99,"ddd"))</f>
        <v/>
      </c>
      <c r="C99" t="inlineStr">
        <is>
          <t>Watercress pork rib soup</t>
        </is>
      </c>
      <c r="D99" t="inlineStr">
        <is>
          <t>planned (week of 6 Jul 2026)</t>
        </is>
      </c>
    </row>
    <row r="100">
      <c r="A100" s="2" t="n">
        <v>46210</v>
      </c>
      <c r="B100" s="3">
        <f>IF(A100="","",TEXT(A100,"ddd"))</f>
        <v/>
      </c>
      <c r="C100" t="inlineStr">
        <is>
          <t>Braised pork with tofu and egg (Tau Yu Bak)</t>
        </is>
      </c>
      <c r="D100" t="inlineStr">
        <is>
          <t>planned (week of 6 Jul 2026)</t>
        </is>
      </c>
    </row>
    <row r="101">
      <c r="A101" s="2" t="n">
        <v>46210</v>
      </c>
      <c r="B101" s="3">
        <f>IF(A101="","",TEXT(A101,"ddd"))</f>
        <v/>
      </c>
      <c r="C101" t="inlineStr">
        <is>
          <t>Steamed pomfret</t>
        </is>
      </c>
      <c r="D101" t="inlineStr">
        <is>
          <t>planned (week of 6 Jul 2026)</t>
        </is>
      </c>
    </row>
    <row r="102">
      <c r="A102" s="2" t="n">
        <v>46211</v>
      </c>
      <c r="B102" s="3">
        <f>IF(A102="","",TEXT(A102,"ddd"))</f>
        <v/>
      </c>
      <c r="C102" t="inlineStr">
        <is>
          <t>Frozen prata</t>
        </is>
      </c>
      <c r="D102" t="inlineStr">
        <is>
          <t>planned (week of 6 Jul 2026)</t>
        </is>
      </c>
    </row>
    <row r="103">
      <c r="A103" s="2" t="n">
        <v>46211</v>
      </c>
      <c r="B103" s="3">
        <f>IF(A103="","",TEXT(A103,"ddd"))</f>
        <v/>
      </c>
      <c r="C103" t="inlineStr">
        <is>
          <t>Padang chicken curry</t>
        </is>
      </c>
      <c r="D103" t="inlineStr">
        <is>
          <t>planned (week of 6 Jul 2026)</t>
        </is>
      </c>
    </row>
    <row r="104">
      <c r="A104" s="2" t="n">
        <v>46212</v>
      </c>
      <c r="B104" s="3">
        <f>IF(A104="","",TEXT(A104,"ddd"))</f>
        <v/>
      </c>
      <c r="C104" t="inlineStr">
        <is>
          <t>Nasi lemak</t>
        </is>
      </c>
      <c r="D104" t="inlineStr">
        <is>
          <t>planned (week of 6 Jul 2026)</t>
        </is>
      </c>
    </row>
    <row r="105">
      <c r="A105" s="2" t="n">
        <v>46212</v>
      </c>
      <c r="B105" s="3">
        <f>IF(A105="","",TEXT(A105,"ddd"))</f>
        <v/>
      </c>
      <c r="C105" t="inlineStr">
        <is>
          <t>Fried chicken wings</t>
        </is>
      </c>
      <c r="D105" t="inlineStr">
        <is>
          <t>planned (week of 6 Jul 2026)</t>
        </is>
      </c>
    </row>
    <row r="106">
      <c r="A106" s="2" t="n">
        <v>46212</v>
      </c>
      <c r="B106" s="3">
        <f>IF(A106="","",TEXT(A106,"ddd"))</f>
        <v/>
      </c>
      <c r="C106" t="inlineStr">
        <is>
          <t>Egg omelette</t>
        </is>
      </c>
      <c r="D106" t="inlineStr">
        <is>
          <t>planned (week of 6 Jul 2026)</t>
        </is>
      </c>
    </row>
    <row r="107">
      <c r="A107" s="2" t="n">
        <v>46212</v>
      </c>
      <c r="B107" s="3">
        <f>IF(A107="","",TEXT(A107,"ddd"))</f>
        <v/>
      </c>
      <c r="C107" t="inlineStr">
        <is>
          <t>Sambal long beans</t>
        </is>
      </c>
      <c r="D107" t="inlineStr">
        <is>
          <t>planned (week of 6 Jul 2026) — sambal kangkong recipe w/ long beans</t>
        </is>
      </c>
    </row>
    <row r="108">
      <c r="A108" s="2" t="n">
        <v>46212</v>
      </c>
      <c r="B108" s="3">
        <f>IF(A108="","",TEXT(A108,"ddd"))</f>
        <v/>
      </c>
      <c r="C108" t="inlineStr">
        <is>
          <t>Begedil</t>
        </is>
      </c>
      <c r="D108" t="inlineStr">
        <is>
          <t>planned (week of 6 Jul 2026)</t>
        </is>
      </c>
    </row>
    <row r="109">
      <c r="A109" s="2" t="n">
        <v>46213</v>
      </c>
      <c r="B109" s="3">
        <f>IF(A109="","",TEXT(A109,"ddd"))</f>
        <v/>
      </c>
      <c r="C109" t="inlineStr">
        <is>
          <t>Grilled cheese</t>
        </is>
      </c>
      <c r="D109" t="inlineStr">
        <is>
          <t>planned (week of 6 Jul 2026)</t>
        </is>
      </c>
    </row>
    <row r="110">
      <c r="A110" s="2" t="n">
        <v>46213</v>
      </c>
      <c r="B110" s="3">
        <f>IF(A110="","",TEXT(A110,"ddd"))</f>
        <v/>
      </c>
      <c r="C110" t="inlineStr">
        <is>
          <t>Tomato soup</t>
        </is>
      </c>
      <c r="D110" t="inlineStr">
        <is>
          <t>planned (week of 6 Jul 2026)</t>
        </is>
      </c>
    </row>
    <row r="111">
      <c r="A111" s="2" t="n">
        <v>46213</v>
      </c>
      <c r="B111" s="3">
        <f>IF(A111="","",TEXT(A111,"ddd"))</f>
        <v/>
      </c>
      <c r="C111" t="inlineStr">
        <is>
          <t>Fries</t>
        </is>
      </c>
      <c r="D111" t="inlineStr">
        <is>
          <t>planned (week of 6 Jul 2026)</t>
        </is>
      </c>
    </row>
    <row r="112">
      <c r="A112" s="2" t="n">
        <v>46216</v>
      </c>
      <c r="B112" s="3">
        <f>IF(A112="","",TEXT(A112,"ddd"))</f>
        <v/>
      </c>
      <c r="C112" t="inlineStr">
        <is>
          <t>Dry laksa</t>
        </is>
      </c>
      <c r="D112" t="inlineStr">
        <is>
          <t>planned (week of 13 Jul 2026)</t>
        </is>
      </c>
    </row>
    <row r="113">
      <c r="A113" s="2" t="n">
        <v>46216</v>
      </c>
      <c r="B113" s="3">
        <f>IF(A113="","",TEXT(A113,"ddd"))</f>
        <v/>
      </c>
      <c r="C113" t="inlineStr">
        <is>
          <t>Fishball minced pork soup</t>
        </is>
      </c>
      <c r="D113" t="inlineStr">
        <is>
          <t>planned (week of 13 Jul 2026)</t>
        </is>
      </c>
    </row>
    <row r="114">
      <c r="A114" s="2" t="n">
        <v>46217</v>
      </c>
      <c r="B114" s="3">
        <f>IF(A114="","",TEXT(A114,"ddd"))</f>
        <v/>
      </c>
      <c r="C114" t="inlineStr">
        <is>
          <t>Japanese hamburg patty</t>
        </is>
      </c>
      <c r="D114" t="inlineStr">
        <is>
          <t>planned (week of 13 Jul 2026)</t>
        </is>
      </c>
    </row>
    <row r="115">
      <c r="A115" s="2" t="n">
        <v>46217</v>
      </c>
      <c r="B115" s="3">
        <f>IF(A115="","",TEXT(A115,"ddd"))</f>
        <v/>
      </c>
      <c r="C115" t="inlineStr">
        <is>
          <t>Steamed rice</t>
        </is>
      </c>
      <c r="D115" t="inlineStr">
        <is>
          <t>planned (week of 13 Jul 2026)</t>
        </is>
      </c>
    </row>
    <row r="116">
      <c r="A116" s="2" t="n">
        <v>46217</v>
      </c>
      <c r="B116" s="3">
        <f>IF(A116="","",TEXT(A116,"ddd"))</f>
        <v/>
      </c>
      <c r="C116" t="inlineStr">
        <is>
          <t>Stir fried dou miao</t>
        </is>
      </c>
      <c r="D116" t="inlineStr">
        <is>
          <t>planned (week of 13 Jul 2026)</t>
        </is>
      </c>
    </row>
    <row r="117">
      <c r="A117" s="2" t="n">
        <v>46218</v>
      </c>
      <c r="B117" s="3">
        <f>IF(A117="","",TEXT(A117,"ddd"))</f>
        <v/>
      </c>
      <c r="C117" t="inlineStr">
        <is>
          <t>Macau Portuguese chicken rice</t>
        </is>
      </c>
      <c r="D117" t="inlineStr">
        <is>
          <t>planned (week of 13 Jul 2026)</t>
        </is>
      </c>
    </row>
    <row r="118">
      <c r="A118" s="2" t="n">
        <v>46218</v>
      </c>
      <c r="B118" s="3">
        <f>IF(A118="","",TEXT(A118,"ddd"))</f>
        <v/>
      </c>
      <c r="C118" t="inlineStr">
        <is>
          <t>ABC soup</t>
        </is>
      </c>
      <c r="D118" t="inlineStr">
        <is>
          <t>planned (week of 13 Jul 2026)</t>
        </is>
      </c>
    </row>
    <row r="119">
      <c r="A119" s="2" t="n">
        <v>46219</v>
      </c>
      <c r="B119" s="3">
        <f>IF(A119="","",TEXT(A119,"ddd"))</f>
        <v/>
      </c>
      <c r="C119" t="inlineStr">
        <is>
          <t>Bread</t>
        </is>
      </c>
      <c r="D119" t="inlineStr">
        <is>
          <t>planned (week of 13 Jul 2026) — with curry</t>
        </is>
      </c>
    </row>
    <row r="120">
      <c r="A120" s="2" t="n">
        <v>46219</v>
      </c>
      <c r="B120" s="3">
        <f>IF(A120="","",TEXT(A120,"ddd"))</f>
        <v/>
      </c>
      <c r="C120" t="inlineStr">
        <is>
          <t>Chicken curry</t>
        </is>
      </c>
      <c r="D120" t="inlineStr">
        <is>
          <t>planned (week of 13 Jul 2026)</t>
        </is>
      </c>
    </row>
    <row r="121">
      <c r="A121" s="2" t="n">
        <v>46220</v>
      </c>
      <c r="B121" s="3">
        <f>IF(A121="","",TEXT(A121,"ddd"))</f>
        <v/>
      </c>
      <c r="C121" t="inlineStr">
        <is>
          <t>Baby back ribs</t>
        </is>
      </c>
      <c r="D121" t="inlineStr">
        <is>
          <t>planned (week of 13 Jul 2026)</t>
        </is>
      </c>
    </row>
    <row r="122">
      <c r="A122" s="2" t="n">
        <v>46220</v>
      </c>
      <c r="B122" s="3">
        <f>IF(A122="","",TEXT(A122,"ddd"))</f>
        <v/>
      </c>
      <c r="C122" t="inlineStr">
        <is>
          <t>Cornbread</t>
        </is>
      </c>
      <c r="D122" t="inlineStr">
        <is>
          <t>planned (week of 13 Jul 2026)</t>
        </is>
      </c>
    </row>
    <row r="123">
      <c r="A123" s="2" t="n">
        <v>46220</v>
      </c>
      <c r="B123" s="3">
        <f>IF(A123="","",TEXT(A123,"ddd"))</f>
        <v/>
      </c>
      <c r="C123" t="inlineStr">
        <is>
          <t>Creamed spinach</t>
        </is>
      </c>
      <c r="D123" t="inlineStr">
        <is>
          <t>planned (week of 13 Jul 2026)</t>
        </is>
      </c>
    </row>
    <row r="124">
      <c r="A124" s="2" t="n">
        <v>46223</v>
      </c>
      <c r="B124" s="3">
        <f>IF(A124="","",TEXT(A124,"ddd"))</f>
        <v/>
      </c>
      <c r="C124" t="inlineStr">
        <is>
          <t>Sticky pork belly</t>
        </is>
      </c>
      <c r="D124" t="inlineStr">
        <is>
          <t>planned (week of 20 Jul 2026)</t>
        </is>
      </c>
    </row>
    <row r="125">
      <c r="A125" s="2" t="n">
        <v>46223</v>
      </c>
      <c r="B125" s="3">
        <f>IF(A125="","",TEXT(A125,"ddd"))</f>
        <v/>
      </c>
      <c r="C125" t="inlineStr">
        <is>
          <t>Stir fried vegetable</t>
        </is>
      </c>
      <c r="D125" t="inlineStr">
        <is>
          <t>planned (week of 20 Jul 2026)</t>
        </is>
      </c>
    </row>
    <row r="126">
      <c r="A126" s="2" t="n">
        <v>46223</v>
      </c>
      <c r="B126" s="3">
        <f>IF(A126="","",TEXT(A126,"ddd"))</f>
        <v/>
      </c>
      <c r="C126" t="inlineStr">
        <is>
          <t>Winter melon pork rib soup</t>
        </is>
      </c>
      <c r="D126" t="inlineStr">
        <is>
          <t>planned (week of 20 Jul 2026)</t>
        </is>
      </c>
    </row>
    <row r="127">
      <c r="A127" s="2" t="n">
        <v>46224</v>
      </c>
      <c r="B127" s="3">
        <f>IF(A127="","",TEXT(A127,"ddd"))</f>
        <v/>
      </c>
      <c r="C127" t="inlineStr">
        <is>
          <t>Cheese sausage</t>
        </is>
      </c>
      <c r="D127" t="inlineStr">
        <is>
          <t>planned (week of 20 Jul 2026)</t>
        </is>
      </c>
    </row>
    <row r="128">
      <c r="A128" s="2" t="n">
        <v>46224</v>
      </c>
      <c r="B128" s="3">
        <f>IF(A128="","",TEXT(A128,"ddd"))</f>
        <v/>
      </c>
      <c r="C128" t="inlineStr">
        <is>
          <t>Rösti</t>
        </is>
      </c>
      <c r="D128" t="inlineStr">
        <is>
          <t>planned (week of 20 Jul 2026)</t>
        </is>
      </c>
    </row>
    <row r="129">
      <c r="A129" s="2" t="n">
        <v>46224</v>
      </c>
      <c r="B129" s="3">
        <f>IF(A129="","",TEXT(A129,"ddd"))</f>
        <v/>
      </c>
      <c r="C129" t="inlineStr">
        <is>
          <t>Broccoli stir fry with mushroom</t>
        </is>
      </c>
      <c r="D129" t="inlineStr">
        <is>
          <t>planned (week of 20 Jul 2026)</t>
        </is>
      </c>
    </row>
    <row r="130">
      <c r="A130" s="2" t="n">
        <v>46225</v>
      </c>
      <c r="B130" s="3">
        <f>IF(A130="","",TEXT(A130,"ddd"))</f>
        <v/>
      </c>
      <c r="C130" t="inlineStr">
        <is>
          <t>Egg fried rice with char siew</t>
        </is>
      </c>
      <c r="D130" t="inlineStr">
        <is>
          <t>planned (week of 20 Jul 2026)</t>
        </is>
      </c>
    </row>
    <row r="131">
      <c r="A131" s="2" t="n">
        <v>46226</v>
      </c>
      <c r="B131" s="3">
        <f>IF(A131="","",TEXT(A131,"ddd"))</f>
        <v/>
      </c>
      <c r="C131" t="inlineStr">
        <is>
          <t>Pork rib king</t>
        </is>
      </c>
      <c r="D131" t="inlineStr">
        <is>
          <t>planned (week of 20 Jul 2026)</t>
        </is>
      </c>
    </row>
    <row r="132">
      <c r="A132" s="2" t="n">
        <v>46226</v>
      </c>
      <c r="B132" s="3">
        <f>IF(A132="","",TEXT(A132,"ddd"))</f>
        <v/>
      </c>
      <c r="C132" t="inlineStr">
        <is>
          <t>ABC soup</t>
        </is>
      </c>
      <c r="D132" t="inlineStr">
        <is>
          <t>planned (week of 20 Jul 2026) — no tomato</t>
        </is>
      </c>
    </row>
    <row r="133">
      <c r="A133" s="2" t="n">
        <v>46226</v>
      </c>
      <c r="B133" s="3">
        <f>IF(A133="","",TEXT(A133,"ddd"))</f>
        <v/>
      </c>
      <c r="C133" t="inlineStr">
        <is>
          <t>Stir-fried baby bok choy</t>
        </is>
      </c>
      <c r="D133" t="inlineStr">
        <is>
          <t>planned (week of 20 Jul 2026)</t>
        </is>
      </c>
    </row>
    <row r="134">
      <c r="A134" s="2" t="n">
        <v>46227</v>
      </c>
      <c r="B134" s="3">
        <f>IF(A134="","",TEXT(A134,"ddd"))</f>
        <v/>
      </c>
      <c r="C134" t="inlineStr">
        <is>
          <t>Stir fried bee hoon</t>
        </is>
      </c>
      <c r="D134" t="inlineStr">
        <is>
          <t>planned (week of 20 Jul 2026) — no prawns</t>
        </is>
      </c>
    </row>
    <row r="135">
      <c r="A135" s="2" t="n">
        <v>46227</v>
      </c>
      <c r="B135" s="3">
        <f>IF(A135="","",TEXT(A135,"ddd"))</f>
        <v/>
      </c>
      <c r="C135" t="inlineStr">
        <is>
          <t>Fried chicken wings</t>
        </is>
      </c>
      <c r="D135" t="inlineStr">
        <is>
          <t>planned (week of 20 Jul 2026)</t>
        </is>
      </c>
    </row>
    <row r="136">
      <c r="A136" s="2" t="n">
        <v>46230</v>
      </c>
      <c r="B136" s="3">
        <f>IF(A136="","",TEXT(A136,"ddd"))</f>
        <v/>
      </c>
      <c r="C136" t="inlineStr">
        <is>
          <t>Udon</t>
        </is>
      </c>
      <c r="D136" t="inlineStr">
        <is>
          <t>planned (week of 27 Jul 2026)</t>
        </is>
      </c>
    </row>
    <row r="137">
      <c r="A137" s="2" t="n">
        <v>46230</v>
      </c>
      <c r="B137" s="3">
        <f>IF(A137="","",TEXT(A137,"ddd"))</f>
        <v/>
      </c>
      <c r="C137" t="inlineStr">
        <is>
          <t>Yasai tempura</t>
        </is>
      </c>
      <c r="D137" t="inlineStr">
        <is>
          <t>planned (week of 27 Jul 2026)</t>
        </is>
      </c>
    </row>
    <row r="138">
      <c r="A138" s="2" t="n">
        <v>46231</v>
      </c>
      <c r="B138" s="3">
        <f>IF(A138="","",TEXT(A138,"ddd"))</f>
        <v/>
      </c>
      <c r="C138" t="inlineStr">
        <is>
          <t>Chicken tsukune</t>
        </is>
      </c>
      <c r="D138" t="inlineStr">
        <is>
          <t>planned (week of 27 Jul 2026)</t>
        </is>
      </c>
    </row>
    <row r="139">
      <c r="A139" s="2" t="n">
        <v>46231</v>
      </c>
      <c r="B139" s="3">
        <f>IF(A139="","",TEXT(A139,"ddd"))</f>
        <v/>
      </c>
      <c r="C139" t="inlineStr">
        <is>
          <t>Stir fried vegetable</t>
        </is>
      </c>
      <c r="D139" t="inlineStr">
        <is>
          <t>planned (week of 27 Jul 2026)</t>
        </is>
      </c>
    </row>
    <row r="140">
      <c r="A140" s="2" t="n">
        <v>46231</v>
      </c>
      <c r="B140" s="3">
        <f>IF(A140="","",TEXT(A140,"ddd"))</f>
        <v/>
      </c>
      <c r="C140" t="inlineStr">
        <is>
          <t>Chinese yam and chicken soup</t>
        </is>
      </c>
      <c r="D140" t="inlineStr">
        <is>
          <t>planned (week of 27 Jul 2026) — pork-rib version</t>
        </is>
      </c>
    </row>
    <row r="141">
      <c r="A141" s="2" t="n">
        <v>46232</v>
      </c>
      <c r="B141" s="3">
        <f>IF(A141="","",TEXT(A141,"ddd"))</f>
        <v/>
      </c>
      <c r="C141" t="inlineStr">
        <is>
          <t>Pork congee with dried scallop</t>
        </is>
      </c>
      <c r="D141" t="inlineStr">
        <is>
          <t>planned (week of 27 Jul 2026)</t>
        </is>
      </c>
    </row>
    <row r="142">
      <c r="A142" s="2" t="n">
        <v>46232</v>
      </c>
      <c r="B142" s="3">
        <f>IF(A142="","",TEXT(A142,"ddd"))</f>
        <v/>
      </c>
      <c r="C142" t="inlineStr">
        <is>
          <t>Youtiao</t>
        </is>
      </c>
      <c r="D142" t="inlineStr">
        <is>
          <t>planned (week of 27 Jul 2026)</t>
        </is>
      </c>
    </row>
    <row r="143">
      <c r="A143" s="2" t="n">
        <v>46232</v>
      </c>
      <c r="B143" s="3">
        <f>IF(A143="","",TEXT(A143,"ddd"))</f>
        <v/>
      </c>
      <c r="C143" t="inlineStr">
        <is>
          <t>Stir fried vegetable</t>
        </is>
      </c>
      <c r="D143" t="inlineStr">
        <is>
          <t>planned (week of 27 Jul 2026) — cooked green</t>
        </is>
      </c>
    </row>
    <row r="144">
      <c r="A144" s="2" t="n">
        <v>46233</v>
      </c>
      <c r="B144" s="3">
        <f>IF(A144="","",TEXT(A144,"ddd"))</f>
        <v/>
      </c>
      <c r="C144" t="inlineStr">
        <is>
          <t>Kong bak pau (braised pork buns)</t>
        </is>
      </c>
      <c r="D144" t="inlineStr">
        <is>
          <t>planned (week of 27 Jul 2026)</t>
        </is>
      </c>
    </row>
    <row r="145">
      <c r="A145" s="2" t="n">
        <v>46233</v>
      </c>
      <c r="B145" s="3">
        <f>IF(A145="","",TEXT(A145,"ddd"))</f>
        <v/>
      </c>
      <c r="C145" t="inlineStr">
        <is>
          <t>Hot and sour soup</t>
        </is>
      </c>
      <c r="D145" t="inlineStr">
        <is>
          <t>planned (week of 27 Jul 2026)</t>
        </is>
      </c>
    </row>
    <row r="146">
      <c r="A146" s="2" t="n">
        <v>46234</v>
      </c>
      <c r="B146" s="3">
        <f>IF(A146="","",TEXT(A146,"ddd"))</f>
        <v/>
      </c>
      <c r="C146" t="inlineStr">
        <is>
          <t>Yang Zhou fried rice</t>
        </is>
      </c>
      <c r="D146" t="inlineStr">
        <is>
          <t>planned (week of 27 Jul 2026) — no prawns</t>
        </is>
      </c>
    </row>
    <row r="147">
      <c r="A147" s="2" t="n">
        <v>46234</v>
      </c>
      <c r="B147" s="3">
        <f>IF(A147="","",TEXT(A147,"ddd"))</f>
        <v/>
      </c>
      <c r="C147" t="inlineStr">
        <is>
          <t>Old cucumber pork rib soup</t>
        </is>
      </c>
      <c r="D147" t="inlineStr">
        <is>
          <t>planned (week of 27 Jul 2026)</t>
        </is>
      </c>
    </row>
    <row r="148">
      <c r="A148" s="2" t="n">
        <v>46237</v>
      </c>
      <c r="B148" s="3">
        <f>IF(A148="","",TEXT(A148,"ddd"))</f>
        <v/>
      </c>
      <c r="C148" t="inlineStr">
        <is>
          <t>Taiwanese braised pork rice</t>
        </is>
      </c>
      <c r="D148" t="inlineStr">
        <is>
          <t>planned (week of 3 Aug 2026)</t>
        </is>
      </c>
    </row>
    <row r="149">
      <c r="A149" s="2" t="n">
        <v>46238</v>
      </c>
      <c r="B149" s="3">
        <f>IF(A149="","",TEXT(A149,"ddd"))</f>
        <v/>
      </c>
      <c r="C149" t="inlineStr">
        <is>
          <t>Thai style steamed seabass</t>
        </is>
      </c>
      <c r="D149" t="inlineStr">
        <is>
          <t>planned (week of 3 Aug 2026) - Thai style steamed fish</t>
        </is>
      </c>
    </row>
    <row r="150">
      <c r="A150" s="2" t="n">
        <v>46238</v>
      </c>
      <c r="B150" s="3">
        <f>IF(A150="","",TEXT(A150,"ddd"))</f>
        <v/>
      </c>
      <c r="C150" t="inlineStr">
        <is>
          <t>Eggplant with minced pork</t>
        </is>
      </c>
      <c r="D150" t="inlineStr">
        <is>
          <t>planned (week of 3 Aug 2026) - yu xiang qie zi</t>
        </is>
      </c>
    </row>
    <row r="151">
      <c r="A151" s="2" t="n">
        <v>46238</v>
      </c>
      <c r="B151" s="3">
        <f>IF(A151="","",TEXT(A151,"ddd"))</f>
        <v/>
      </c>
      <c r="C151" t="inlineStr">
        <is>
          <t>Lotus root pork rib soup</t>
        </is>
      </c>
      <c r="D151" t="inlineStr">
        <is>
          <t>planned (week of 3 Aug 2026)</t>
        </is>
      </c>
    </row>
    <row r="152">
      <c r="A152" s="2" t="n">
        <v>46239</v>
      </c>
      <c r="B152" s="3">
        <f>IF(A152="","",TEXT(A152,"ddd"))</f>
        <v/>
      </c>
      <c r="C152" t="inlineStr">
        <is>
          <t>Ee-fu mee</t>
        </is>
      </c>
      <c r="D152" t="inlineStr">
        <is>
          <t>planned (week of 3 Aug 2026)</t>
        </is>
      </c>
    </row>
    <row r="153">
      <c r="A153" s="2" t="n">
        <v>46239</v>
      </c>
      <c r="B153" s="3">
        <f>IF(A153="","",TEXT(A153,"ddd"))</f>
        <v/>
      </c>
      <c r="C153" t="inlineStr">
        <is>
          <t>Claypot tofu (tofu hotplate with broccoli)</t>
        </is>
      </c>
      <c r="D153" t="inlineStr">
        <is>
          <t>planned (week of 3 Aug 2026) - broccoli not snow peas; omit prawns; sub the Shaoxing</t>
        </is>
      </c>
    </row>
    <row r="154">
      <c r="A154" s="2" t="n">
        <v>46239</v>
      </c>
      <c r="B154" s="3">
        <f>IF(A154="","",TEXT(A154,"ddd"))</f>
        <v/>
      </c>
      <c r="C154" t="inlineStr">
        <is>
          <t>Chinese yam and chicken soup</t>
        </is>
      </c>
      <c r="D154" t="inlineStr">
        <is>
          <t>planned (week of 3 Aug 2026) - sub the cooking wine</t>
        </is>
      </c>
    </row>
    <row r="155">
      <c r="A155" s="2" t="n">
        <v>46240</v>
      </c>
      <c r="B155" s="3">
        <f>IF(A155="","",TEXT(A155,"ddd"))</f>
        <v/>
      </c>
      <c r="C155" t="inlineStr">
        <is>
          <t>Beef rendang</t>
        </is>
      </c>
      <c r="D155" t="inlineStr">
        <is>
          <t>planned (week of 3 Aug 2026) - Madam Kwan's paste, 1.5 packets</t>
        </is>
      </c>
    </row>
    <row r="156">
      <c r="A156" s="2" t="n">
        <v>46240</v>
      </c>
      <c r="B156" s="3">
        <f>IF(A156="","",TEXT(A156,"ddd"))</f>
        <v/>
      </c>
      <c r="C156" t="inlineStr">
        <is>
          <t>Steamed stuffed tofu puffs</t>
        </is>
      </c>
      <c r="D156" t="inlineStr">
        <is>
          <t>planned (week of 3 Aug 2026)</t>
        </is>
      </c>
    </row>
    <row r="157">
      <c r="A157" s="2" t="n">
        <v>46240</v>
      </c>
      <c r="B157" s="3">
        <f>IF(A157="","",TEXT(A157,"ddd"))</f>
        <v/>
      </c>
      <c r="C157" t="inlineStr">
        <is>
          <t>Stir fried vegetable</t>
        </is>
      </c>
      <c r="D157" t="inlineStr">
        <is>
          <t>planned (week of 3 Aug 2026) - dark leafy green, unseasoned</t>
        </is>
      </c>
    </row>
    <row r="158">
      <c r="A158" s="2" t="n">
        <v>46241</v>
      </c>
      <c r="B158" s="3">
        <f>IF(A158="","",TEXT(A158,"ddd"))</f>
        <v/>
      </c>
      <c r="C158" t="inlineStr">
        <is>
          <t>Hakka mei cai kou rou</t>
        </is>
      </c>
      <c r="D158" t="inlineStr">
        <is>
          <t>planned (week of 3 Aug 2026)</t>
        </is>
      </c>
    </row>
    <row r="159">
      <c r="A159" s="2" t="n">
        <v>46241</v>
      </c>
      <c r="B159" s="3">
        <f>IF(A159="","",TEXT(A159,"ddd"))</f>
        <v/>
      </c>
      <c r="C159" t="inlineStr">
        <is>
          <t>Stir fried vegetable</t>
        </is>
      </c>
      <c r="D159" t="inlineStr">
        <is>
          <t>planned (week of 3 Aug 2026)</t>
        </is>
      </c>
    </row>
    <row r="160">
      <c r="A160" s="2" t="n">
        <v>46241</v>
      </c>
      <c r="B160" s="3">
        <f>IF(A160="","",TEXT(A160,"ddd"))</f>
        <v/>
      </c>
      <c r="C160" t="inlineStr">
        <is>
          <t>Steamed rice</t>
        </is>
      </c>
      <c r="D160" t="inlineStr">
        <is>
          <t>planned (week of 3 Aug 2026)</t>
        </is>
      </c>
    </row>
    <row r="161">
      <c r="A161" s="2" t="n">
        <v>46245</v>
      </c>
      <c r="B161" s="3">
        <f>IF(A161="","",TEXT(A161,"ddd"))</f>
        <v/>
      </c>
      <c r="C161" t="inlineStr">
        <is>
          <t>HK-style steamed chicken</t>
        </is>
      </c>
      <c r="D161" t="inlineStr">
        <is>
          <t>planned (week of 10 Aug 2026)</t>
        </is>
      </c>
    </row>
    <row r="162">
      <c r="A162" s="2" t="n">
        <v>46245</v>
      </c>
      <c r="B162" s="3">
        <f>IF(A162="","",TEXT(A162,"ddd"))</f>
        <v/>
      </c>
      <c r="C162" t="inlineStr">
        <is>
          <t>Braised mushrooms with spinach</t>
        </is>
      </c>
      <c r="D162" t="inlineStr">
        <is>
          <t>planned (week of 10 Aug 2026)</t>
        </is>
      </c>
    </row>
    <row r="163">
      <c r="A163" s="2" t="n">
        <v>46245</v>
      </c>
      <c r="B163" s="3">
        <f>IF(A163="","",TEXT(A163,"ddd"))</f>
        <v/>
      </c>
      <c r="C163" t="inlineStr">
        <is>
          <t>Radish pork rib soup with dates</t>
        </is>
      </c>
      <c r="D163" t="inlineStr">
        <is>
          <t>planned (week of 10 Aug 2026)</t>
        </is>
      </c>
    </row>
    <row r="164">
      <c r="A164" s="2" t="n">
        <v>46245</v>
      </c>
      <c r="B164" s="3">
        <f>IF(A164="","",TEXT(A164,"ddd"))</f>
        <v/>
      </c>
      <c r="C164" t="inlineStr">
        <is>
          <t>Steamed rice</t>
        </is>
      </c>
      <c r="D164" t="inlineStr">
        <is>
          <t>planned (week of 10 Aug 2026)</t>
        </is>
      </c>
    </row>
    <row r="165">
      <c r="A165" s="2" t="n">
        <v>46246</v>
      </c>
      <c r="B165" s="3">
        <f>IF(A165="","",TEXT(A165,"ddd"))</f>
        <v/>
      </c>
      <c r="C165" t="inlineStr">
        <is>
          <t>Yang Zhou fried rice</t>
        </is>
      </c>
      <c r="D165" t="inlineStr">
        <is>
          <t>planned (week of 10 Aug 2026) - EARLY - 12d after 31 Jul, cd 28; user approved</t>
        </is>
      </c>
    </row>
    <row r="166">
      <c r="A166" s="2" t="n">
        <v>46246</v>
      </c>
      <c r="B166" s="3">
        <f>IF(A166="","",TEXT(A166,"ddd"))</f>
        <v/>
      </c>
      <c r="C166" t="inlineStr">
        <is>
          <t>Cereal pork chop</t>
        </is>
      </c>
      <c r="D166" t="inlineStr">
        <is>
          <t>planned (week of 10 Aug 2026)</t>
        </is>
      </c>
    </row>
    <row r="167">
      <c r="A167" s="2" t="n">
        <v>46246</v>
      </c>
      <c r="B167" s="3">
        <f>IF(A167="","",TEXT(A167,"ddd"))</f>
        <v/>
      </c>
      <c r="C167" t="inlineStr">
        <is>
          <t>Stir fried vegetable</t>
        </is>
      </c>
      <c r="D167" t="inlineStr">
        <is>
          <t>planned (week of 10 Aug 2026)</t>
        </is>
      </c>
    </row>
    <row r="168">
      <c r="A168" s="2" t="n">
        <v>46247</v>
      </c>
      <c r="B168" s="3">
        <f>IF(A168="","",TEXT(A168,"ddd"))</f>
        <v/>
      </c>
      <c r="C168" t="inlineStr">
        <is>
          <t>Steamed baby threadfin</t>
        </is>
      </c>
      <c r="D168" t="inlineStr">
        <is>
          <t>planned (week of 10 Aug 2026)</t>
        </is>
      </c>
    </row>
    <row r="169">
      <c r="A169" s="2" t="n">
        <v>46247</v>
      </c>
      <c r="B169" s="3">
        <f>IF(A169="","",TEXT(A169,"ddd"))</f>
        <v/>
      </c>
      <c r="C169" t="inlineStr">
        <is>
          <t>Stir fried vegetable</t>
        </is>
      </c>
      <c r="D169" t="inlineStr">
        <is>
          <t>planned (week of 10 Aug 2026)</t>
        </is>
      </c>
    </row>
    <row r="170">
      <c r="A170" s="2" t="n">
        <v>46247</v>
      </c>
      <c r="B170" s="3">
        <f>IF(A170="","",TEXT(A170,"ddd"))</f>
        <v/>
      </c>
      <c r="C170" t="inlineStr">
        <is>
          <t>Braised pork ribs</t>
        </is>
      </c>
      <c r="D170" t="inlineStr">
        <is>
          <t>planned (week of 10 Aug 2026) - cut the 1 cup rice wine</t>
        </is>
      </c>
    </row>
    <row r="171">
      <c r="A171" s="2" t="n">
        <v>46248</v>
      </c>
      <c r="B171" s="3">
        <f>IF(A171="","",TEXT(A171,"ddd"))</f>
        <v/>
      </c>
      <c r="C171" t="inlineStr">
        <is>
          <t>Sticky honey pork</t>
        </is>
      </c>
      <c r="D171" t="inlineStr">
        <is>
          <t>planned (week of 10 Aug 2026)</t>
        </is>
      </c>
    </row>
    <row r="172">
      <c r="A172" s="2" t="n">
        <v>46248</v>
      </c>
      <c r="B172" s="3">
        <f>IF(A172="","",TEXT(A172,"ddd"))</f>
        <v/>
      </c>
      <c r="C172" t="inlineStr">
        <is>
          <t>Hainanese chap chye</t>
        </is>
      </c>
      <c r="D172" t="inlineStr">
        <is>
          <t>planned (week of 10 Aug 2026)</t>
        </is>
      </c>
    </row>
    <row r="173">
      <c r="A173" s="2" t="n">
        <v>46248</v>
      </c>
      <c r="B173" s="3">
        <f>IF(A173="","",TEXT(A173,"ddd"))</f>
        <v/>
      </c>
      <c r="C173" t="inlineStr">
        <is>
          <t>Tonjiru</t>
        </is>
      </c>
      <c r="D173" t="inlineStr">
        <is>
          <t>planned (week of 10 Aug 2026)</t>
        </is>
      </c>
    </row>
    <row r="174">
      <c r="A174" s="2" t="n">
        <v>46248</v>
      </c>
      <c r="B174" s="3">
        <f>IF(A174="","",TEXT(A174,"ddd"))</f>
        <v/>
      </c>
      <c r="C174" t="inlineStr">
        <is>
          <t>Steamed rice</t>
        </is>
      </c>
      <c r="D174" t="inlineStr">
        <is>
          <t>planned (week of 10 Aug 2026)</t>
        </is>
      </c>
    </row>
    <row r="175">
      <c r="A175" s="2" t="n">
        <v>46251</v>
      </c>
      <c r="B175" s="3">
        <f>IF(A175="","",TEXT(A175,"ddd"))</f>
        <v/>
      </c>
      <c r="C175" t="inlineStr">
        <is>
          <t>Pork krapow (Pad Kra Pao)</t>
        </is>
      </c>
      <c r="D175" t="inlineStr">
        <is>
          <t>planned (week of 17 Aug 2026) - no chilli in a split-off portion for the kid</t>
        </is>
      </c>
    </row>
    <row r="176">
      <c r="A176" s="2" t="n">
        <v>46251</v>
      </c>
      <c r="B176" s="3">
        <f>IF(A176="","",TEXT(A176,"ddd"))</f>
        <v/>
      </c>
      <c r="C176" t="inlineStr">
        <is>
          <t>Crispy fried tofu with meat floss</t>
        </is>
      </c>
      <c r="D176" t="inlineStr">
        <is>
          <t>planned (week of 17 Aug 2026) - omit sesame oil; chicken stock powder for mushroom granules</t>
        </is>
      </c>
    </row>
    <row r="177">
      <c r="A177" s="2" t="n">
        <v>46251</v>
      </c>
      <c r="B177" s="3">
        <f>IF(A177="","",TEXT(A177,"ddd"))</f>
        <v/>
      </c>
      <c r="C177" t="inlineStr">
        <is>
          <t>Stir fried vegetable</t>
        </is>
      </c>
      <c r="D177" t="inlineStr">
        <is>
          <t>planned (week of 17 Aug 2026)</t>
        </is>
      </c>
    </row>
    <row r="178">
      <c r="A178" s="2" t="n">
        <v>46251</v>
      </c>
      <c r="B178" s="3">
        <f>IF(A178="","",TEXT(A178,"ddd"))</f>
        <v/>
      </c>
      <c r="C178" t="inlineStr">
        <is>
          <t>Steamed rice</t>
        </is>
      </c>
      <c r="D178" t="inlineStr">
        <is>
          <t>planned (week of 17 Aug 2026)</t>
        </is>
      </c>
    </row>
    <row r="179">
      <c r="A179" s="2" t="n">
        <v>46252</v>
      </c>
      <c r="B179" s="3">
        <f>IF(A179="","",TEXT(A179,"ddd"))</f>
        <v/>
      </c>
      <c r="C179" t="inlineStr">
        <is>
          <t>Pan-fried threadfin with leek</t>
        </is>
      </c>
      <c r="D179" t="inlineStr">
        <is>
          <t>planned (week of 17 Aug 2026)</t>
        </is>
      </c>
    </row>
    <row r="180">
      <c r="A180" s="2" t="n">
        <v>46252</v>
      </c>
      <c r="B180" s="3">
        <f>IF(A180="","",TEXT(A180,"ddd"))</f>
        <v/>
      </c>
      <c r="C180" t="inlineStr">
        <is>
          <t>Tofu with preserved vegetable</t>
        </is>
      </c>
      <c r="D180" t="inlineStr">
        <is>
          <t>planned (week of 17 Aug 2026)</t>
        </is>
      </c>
    </row>
    <row r="181">
      <c r="A181" s="2" t="n">
        <v>46252</v>
      </c>
      <c r="B181" s="3">
        <f>IF(A181="","",TEXT(A181,"ddd"))</f>
        <v/>
      </c>
      <c r="C181" t="inlineStr">
        <is>
          <t>Lotus root pork rib soup</t>
        </is>
      </c>
      <c r="D181" t="inlineStr">
        <is>
          <t>planned (week of 17 Aug 2026) - EARLY - 14d after 4 Aug, cd 21; user approved</t>
        </is>
      </c>
    </row>
    <row r="182">
      <c r="A182" s="2" t="n">
        <v>46252</v>
      </c>
      <c r="B182" s="3">
        <f>IF(A182="","",TEXT(A182,"ddd"))</f>
        <v/>
      </c>
      <c r="C182" t="inlineStr">
        <is>
          <t>Steamed rice</t>
        </is>
      </c>
      <c r="D182" t="inlineStr">
        <is>
          <t>planned (week of 17 Aug 2026)</t>
        </is>
      </c>
    </row>
    <row r="183">
      <c r="A183" s="2" t="n">
        <v>46253</v>
      </c>
      <c r="B183" s="3">
        <f>IF(A183="","",TEXT(A183,"ddd"))</f>
        <v/>
      </c>
      <c r="C183" t="inlineStr">
        <is>
          <t>Braised pork with tofu and egg (Tau Yu Bak)</t>
        </is>
      </c>
      <c r="D183" t="inlineStr">
        <is>
          <t>planned (week of 17 Aug 2026) - eggs kept</t>
        </is>
      </c>
    </row>
    <row r="184">
      <c r="A184" s="2" t="n">
        <v>46253</v>
      </c>
      <c r="B184" s="3">
        <f>IF(A184="","",TEXT(A184,"ddd"))</f>
        <v/>
      </c>
      <c r="C184" t="inlineStr">
        <is>
          <t>Stir fried vegetable</t>
        </is>
      </c>
      <c r="D184" t="inlineStr">
        <is>
          <t>planned (week of 17 Aug 2026) - hardy green</t>
        </is>
      </c>
    </row>
    <row r="185">
      <c r="A185" s="2" t="n">
        <v>46253</v>
      </c>
      <c r="B185" s="3">
        <f>IF(A185="","",TEXT(A185,"ddd"))</f>
        <v/>
      </c>
      <c r="C185" t="inlineStr">
        <is>
          <t>Chinese yam and chicken soup</t>
        </is>
      </c>
      <c r="D185" t="inlineStr">
        <is>
          <t>planned (week of 17 Aug 2026) - PORK RIB version; EARLY - 14d after 5 Aug, cd 21; user approved</t>
        </is>
      </c>
    </row>
    <row r="186">
      <c r="A186" s="2" t="n">
        <v>46253</v>
      </c>
      <c r="B186" s="3">
        <f>IF(A186="","",TEXT(A186,"ddd"))</f>
        <v/>
      </c>
      <c r="C186" t="inlineStr">
        <is>
          <t>Steamed rice</t>
        </is>
      </c>
      <c r="D186" t="inlineStr">
        <is>
          <t>planned (week of 17 Aug 2026)</t>
        </is>
      </c>
    </row>
    <row r="187">
      <c r="A187" s="2" t="n">
        <v>46254</v>
      </c>
      <c r="B187" s="3">
        <f>IF(A187="","",TEXT(A187,"ddd"))</f>
        <v/>
      </c>
      <c r="C187" t="inlineStr">
        <is>
          <t>Fried chicken wings</t>
        </is>
      </c>
      <c r="D187" t="inlineStr">
        <is>
          <t>planned (week of 17 Aug 2026)</t>
        </is>
      </c>
    </row>
    <row r="188">
      <c r="A188" s="2" t="n">
        <v>46254</v>
      </c>
      <c r="B188" s="3">
        <f>IF(A188="","",TEXT(A188,"ddd"))</f>
        <v/>
      </c>
      <c r="C188" t="inlineStr">
        <is>
          <t>Hokkien gai fan</t>
        </is>
      </c>
      <c r="D188" t="inlineStr">
        <is>
          <t>planned (week of 17 Aug 2026)</t>
        </is>
      </c>
    </row>
    <row r="189">
      <c r="A189" s="2" t="n">
        <v>46255</v>
      </c>
      <c r="B189" s="3">
        <f>IF(A189="","",TEXT(A189,"ddd"))</f>
        <v/>
      </c>
      <c r="C189" t="inlineStr">
        <is>
          <t>Yang Zhou fried rice</t>
        </is>
      </c>
      <c r="D189" t="inlineStr">
        <is>
          <t>planned (week of 17 Aug 2026) - EARLY - 9d after 12 Aug, cd 28; 3rd time in 3 weeks; user approved</t>
        </is>
      </c>
    </row>
    <row r="190">
      <c r="A190" s="2" t="n">
        <v>46255</v>
      </c>
      <c r="B190" s="3">
        <f>IF(A190="","",TEXT(A190,"ddd"))</f>
        <v/>
      </c>
      <c r="C190" t="inlineStr">
        <is>
          <t>Satay</t>
        </is>
      </c>
      <c r="D190" t="inlineStr">
        <is>
          <t>planned (week of 17 Aug 2026) - frozen, using up</t>
        </is>
      </c>
    </row>
    <row r="191">
      <c r="A191" s="8" t="n">
        <v>46272</v>
      </c>
      <c r="B191" s="3">
        <f>IF(A191="","",TEXT(A191,"ddd"))</f>
        <v/>
      </c>
      <c r="C191" s="3" t="inlineStr">
        <is>
          <t>Stir fried bee hoon</t>
        </is>
      </c>
      <c r="D191" s="3" t="inlineStr">
        <is>
          <t>planned (week of 7 Sep 2026)</t>
        </is>
      </c>
    </row>
    <row r="192">
      <c r="A192" s="8" t="n">
        <v>46272</v>
      </c>
      <c r="B192" s="3">
        <f>IF(A192="","",TEXT(A192,"ddd"))</f>
        <v/>
      </c>
      <c r="C192" s="3" t="inlineStr">
        <is>
          <t>Watercress pork rib soup</t>
        </is>
      </c>
      <c r="D192" s="3" t="inlineStr">
        <is>
          <t>planned (week of 7 Sep 2026) - 1kg ribs across 4 soups this week, reduced by user</t>
        </is>
      </c>
    </row>
    <row r="193">
      <c r="A193" s="8" t="n">
        <v>46273</v>
      </c>
      <c r="B193" s="3">
        <f>IF(A193="","",TEXT(A193,"ddd"))</f>
        <v/>
      </c>
      <c r="C193" s="3" t="inlineStr">
        <is>
          <t>Steamed baby threadfin</t>
        </is>
      </c>
      <c r="D193" s="3" t="inlineStr">
        <is>
          <t>planned (week of 7 Sep 2026) - no recipe file; quantities invented</t>
        </is>
      </c>
    </row>
    <row r="194">
      <c r="A194" s="8" t="n">
        <v>46273</v>
      </c>
      <c r="B194" s="3">
        <f>IF(A194="","",TEXT(A194,"ddd"))</f>
        <v/>
      </c>
      <c r="C194" s="3" t="inlineStr">
        <is>
          <t>Stir fried dou miao</t>
        </is>
      </c>
      <c r="D194" s="3" t="inlineStr">
        <is>
          <t>planned (week of 7 Sep 2026)</t>
        </is>
      </c>
    </row>
    <row r="195">
      <c r="A195" s="8" t="n">
        <v>46273</v>
      </c>
      <c r="B195" s="3">
        <f>IF(A195="","",TEXT(A195,"ddd"))</f>
        <v/>
      </c>
      <c r="C195" s="3" t="inlineStr">
        <is>
          <t>Chinese yam and chicken soup</t>
        </is>
      </c>
      <c r="D195" s="3" t="inlineStr">
        <is>
          <t>planned (week of 7 Sep 2026) - PORK RIB version; EARLY - 20d after 19 Aug, cd 21; user approved</t>
        </is>
      </c>
    </row>
    <row r="196">
      <c r="A196" s="8" t="n">
        <v>46273</v>
      </c>
      <c r="B196" s="3">
        <f>IF(A196="","",TEXT(A196,"ddd"))</f>
        <v/>
      </c>
      <c r="C196" s="3" t="inlineStr">
        <is>
          <t>Steamed rice</t>
        </is>
      </c>
      <c r="D196" s="3" t="inlineStr">
        <is>
          <t>planned (week of 7 Sep 2026)</t>
        </is>
      </c>
    </row>
    <row r="197">
      <c r="A197" s="8" t="n">
        <v>46274</v>
      </c>
      <c r="B197" s="3">
        <f>IF(A197="","",TEXT(A197,"ddd"))</f>
        <v/>
      </c>
      <c r="C197" s="3" t="inlineStr">
        <is>
          <t>Yang Zhou fried rice</t>
        </is>
      </c>
      <c r="D197" s="3" t="inlineStr">
        <is>
          <t>planned (week of 7 Sep 2026) - EARLY - 19d after 21 Aug, cd 28; user approved; sesame oil -&gt; neutral</t>
        </is>
      </c>
    </row>
    <row r="198">
      <c r="A198" s="8" t="n">
        <v>46274</v>
      </c>
      <c r="B198" s="3">
        <f>IF(A198="","",TEXT(A198,"ddd"))</f>
        <v/>
      </c>
      <c r="C198" s="3" t="inlineStr">
        <is>
          <t>Fishball minced pork soup</t>
        </is>
      </c>
      <c r="D198" s="3" t="inlineStr">
        <is>
          <t>planned (week of 7 Sep 2026) - recipe has no quantities; invented</t>
        </is>
      </c>
    </row>
    <row r="199">
      <c r="A199" s="8" t="n">
        <v>46275</v>
      </c>
      <c r="B199" s="3">
        <f>IF(A199="","",TEXT(A199,"ddd"))</f>
        <v/>
      </c>
      <c r="C199" s="3" t="inlineStr">
        <is>
          <t>Baked salmon with herbs</t>
        </is>
      </c>
      <c r="D199" s="3" t="inlineStr">
        <is>
          <t>planned (week of 7 Sep 2026)</t>
        </is>
      </c>
    </row>
    <row r="200">
      <c r="A200" s="8" t="n">
        <v>46275</v>
      </c>
      <c r="B200" s="3">
        <f>IF(A200="","",TEXT(A200,"ddd"))</f>
        <v/>
      </c>
      <c r="C200" s="3" t="inlineStr">
        <is>
          <t>Stir fried vegetable</t>
        </is>
      </c>
      <c r="D200" s="3" t="inlineStr">
        <is>
          <t>planned (week of 7 Sep 2026) - soft green, day 4</t>
        </is>
      </c>
    </row>
    <row r="201">
      <c r="A201" s="8" t="n">
        <v>46275</v>
      </c>
      <c r="B201" s="3">
        <f>IF(A201="","",TEXT(A201,"ddd"))</f>
        <v/>
      </c>
      <c r="C201" s="3" t="inlineStr">
        <is>
          <t>Lotus root pork rib soup</t>
        </is>
      </c>
      <c r="D201" s="3" t="inlineStr">
        <is>
          <t>planned (week of 7 Sep 2026) - recipe serves 12; HALF batch</t>
        </is>
      </c>
    </row>
    <row r="202">
      <c r="A202" s="8" t="n">
        <v>46275</v>
      </c>
      <c r="B202" s="3">
        <f>IF(A202="","",TEXT(A202,"ddd"))</f>
        <v/>
      </c>
      <c r="C202" s="3" t="inlineStr">
        <is>
          <t>Steamed rice</t>
        </is>
      </c>
      <c r="D202" s="3" t="inlineStr">
        <is>
          <t>planned (week of 7 Sep 2026)</t>
        </is>
      </c>
    </row>
    <row r="203">
      <c r="A203" s="8" t="n">
        <v>46276</v>
      </c>
      <c r="B203" s="3">
        <f>IF(A203="","",TEXT(A203,"ddd"))</f>
        <v/>
      </c>
      <c r="C203" s="3" t="inlineStr">
        <is>
          <t>Ee-fu mee</t>
        </is>
      </c>
      <c r="D203" s="3" t="inlineStr">
        <is>
          <t>planned (week of 7 Sep 2026) - mushrooms KEPT by user override; SLICED PORK 400g not chicken thigh</t>
        </is>
      </c>
    </row>
    <row r="204">
      <c r="A204" s="8" t="n">
        <v>46276</v>
      </c>
      <c r="B204" s="3">
        <f>IF(A204="","",TEXT(A204,"ddd"))</f>
        <v/>
      </c>
      <c r="C204" s="3" t="inlineStr">
        <is>
          <t>Radish pork rib soup with dates</t>
        </is>
      </c>
      <c r="D204" s="3" t="inlineStr">
        <is>
          <t>planned (week of 7 Sep 2026)</t>
        </is>
      </c>
    </row>
    <row r="205">
      <c r="A205" s="8" t="n">
        <v>46276</v>
      </c>
      <c r="B205" s="3">
        <f>IF(A205="","",TEXT(A205,"ddd"))</f>
        <v/>
      </c>
      <c r="C205" s="3" t="inlineStr">
        <is>
          <t>Stir fried vegetable</t>
        </is>
      </c>
      <c r="D205" s="3" t="inlineStr">
        <is>
          <t>planned (week of 7 Sep 2026) - hardy green (kai lan), day 5</t>
        </is>
      </c>
    </row>
    <row r="206">
      <c r="A206" s="8" t="n">
        <v>46279</v>
      </c>
      <c r="B206" s="3">
        <f>IF(A206="","",TEXT(A206,"ddd"))</f>
        <v/>
      </c>
      <c r="C206" s="3" t="inlineStr">
        <is>
          <t>Buta don 豚丼</t>
        </is>
      </c>
      <c r="D206" s="3" t="inlineStr">
        <is>
          <t>planned (week of 14 Sep 2026) - raw egg yolk topping OMITTED; alcohol override</t>
        </is>
      </c>
    </row>
    <row r="207">
      <c r="A207" s="8" t="n">
        <v>46279</v>
      </c>
      <c r="B207" s="3">
        <f>IF(A207="","",TEXT(A207,"ddd"))</f>
        <v/>
      </c>
      <c r="C207" s="3" t="inlineStr">
        <is>
          <t>Watercress pork rib soup</t>
        </is>
      </c>
      <c r="D207" s="3" t="inlineStr">
        <is>
          <t>planned (week of 14 Sep 2026) - EARLY: 7d after 7 Sep, cd 21; user chose 12 Sep</t>
        </is>
      </c>
    </row>
    <row r="208">
      <c r="A208" s="8" t="n">
        <v>46280</v>
      </c>
      <c r="B208" s="3">
        <f>IF(A208="","",TEXT(A208,"ddd"))</f>
        <v/>
      </c>
      <c r="C208" s="3" t="inlineStr">
        <is>
          <t>Taiwanese beef noodle soup 红烧牛肉面</t>
        </is>
      </c>
      <c r="D208" s="3" t="inlineStr">
        <is>
          <t>planned (week of 14 Sep 2026) - tomato + alcohol override; CHILD: ladle before the chilli</t>
        </is>
      </c>
    </row>
    <row r="209">
      <c r="A209" s="8" t="n">
        <v>46281</v>
      </c>
      <c r="B209" s="3">
        <f>IF(A209="","",TEXT(A209,"ddd"))</f>
        <v/>
      </c>
      <c r="C209" s="3" t="inlineStr">
        <is>
          <t>Padang chicken curry</t>
        </is>
      </c>
      <c r="D209" s="3" t="inlineStr">
        <is>
          <t>planned (week of 14 Sep 2026) - 2 packets Dancing Chef paste</t>
        </is>
      </c>
    </row>
    <row r="210">
      <c r="A210" s="8" t="n">
        <v>46281</v>
      </c>
      <c r="B210" s="3">
        <f>IF(A210="","",TEXT(A210,"ddd"))</f>
        <v/>
      </c>
      <c r="C210" s="3" t="inlineStr">
        <is>
          <t>Fishball and baby spinach soup</t>
        </is>
      </c>
      <c r="D210" s="3" t="inlineStr">
        <is>
          <t>planned (week of 14 Sep 2026) - no recipe; quantities invented</t>
        </is>
      </c>
    </row>
    <row r="211">
      <c r="A211" s="8" t="n">
        <v>46282</v>
      </c>
      <c r="B211" s="3">
        <f>IF(A211="","",TEXT(A211,"ddd"))</f>
        <v/>
      </c>
      <c r="C211" s="3" t="inlineStr">
        <is>
          <t>Steamed pomfret</t>
        </is>
      </c>
      <c r="D211" s="3" t="inlineStr">
        <is>
          <t>planned (week of 14 Sep 2026) - no recipe; quantities invented</t>
        </is>
      </c>
    </row>
    <row r="212">
      <c r="A212" s="8" t="n">
        <v>46282</v>
      </c>
      <c r="B212" s="3">
        <f>IF(A212="","",TEXT(A212,"ddd"))</f>
        <v/>
      </c>
      <c r="C212" s="3" t="inlineStr">
        <is>
          <t>Braised meatballs in oyster sauce 蚝油焖肉丸</t>
        </is>
      </c>
      <c r="D212" s="3" t="inlineStr">
        <is>
          <t>planned (week of 14 Sep 2026) - FIRST COOK; minced PORK (recipe default)</t>
        </is>
      </c>
    </row>
    <row r="213">
      <c r="A213" s="8" t="n">
        <v>46282</v>
      </c>
      <c r="B213" s="3">
        <f>IF(A213="","",TEXT(A213,"ddd"))</f>
        <v/>
      </c>
      <c r="C213" s="3" t="inlineStr">
        <is>
          <t>Stir fried vegetable</t>
        </is>
      </c>
      <c r="D213" s="3" t="inlineStr">
        <is>
          <t>planned (week of 14 Sep 2026) - soft green, day 4</t>
        </is>
      </c>
    </row>
    <row r="214">
      <c r="A214" s="8" t="n">
        <v>46282</v>
      </c>
      <c r="B214" s="3">
        <f>IF(A214="","",TEXT(A214,"ddd"))</f>
        <v/>
      </c>
      <c r="C214" s="3" t="inlineStr">
        <is>
          <t>Tonjiru</t>
        </is>
      </c>
      <c r="D214" s="3" t="inlineStr">
        <is>
          <t>planned (week of 14 Sep 2026)</t>
        </is>
      </c>
    </row>
    <row r="215">
      <c r="A215" s="8" t="n">
        <v>46282</v>
      </c>
      <c r="B215" s="3">
        <f>IF(A215="","",TEXT(A215,"ddd"))</f>
        <v/>
      </c>
      <c r="C215" s="3" t="inlineStr">
        <is>
          <t>Steamed rice</t>
        </is>
      </c>
      <c r="D215" s="3" t="inlineStr">
        <is>
          <t>planned (week of 14 Sep 2026)</t>
        </is>
      </c>
    </row>
    <row r="216">
      <c r="A216" s="8" t="n">
        <v>46283</v>
      </c>
      <c r="B216" s="3">
        <f>IF(A216="","",TEXT(A216,"ddd"))</f>
        <v/>
      </c>
      <c r="C216" s="3" t="inlineStr">
        <is>
          <t>Pan-fried threadfin with leek</t>
        </is>
      </c>
      <c r="D216" s="3" t="inlineStr">
        <is>
          <t>planned (week of 14 Sep 2026) - no recipe; freeze Sun, thaw Thu night</t>
        </is>
      </c>
    </row>
    <row r="217">
      <c r="A217" s="8" t="n">
        <v>46283</v>
      </c>
      <c r="B217" s="3">
        <f>IF(A217="","",TEXT(A217,"ddd"))</f>
        <v/>
      </c>
      <c r="C217" s="3" t="inlineStr">
        <is>
          <t>Sweet and sour pork</t>
        </is>
      </c>
      <c r="D217" s="3" t="inlineStr">
        <is>
          <t>planned (week of 14 Sep 2026) - tomato override; sesame oil DELETED; pork raised to 600g</t>
        </is>
      </c>
    </row>
    <row r="218">
      <c r="A218" s="8" t="n">
        <v>46283</v>
      </c>
      <c r="B218" s="3">
        <f>IF(A218="","",TEXT(A218,"ddd"))</f>
        <v/>
      </c>
      <c r="C218" s="3" t="inlineStr">
        <is>
          <t>Stir fried vegetable</t>
        </is>
      </c>
      <c r="D218" s="3" t="inlineStr">
        <is>
          <t>planned (week of 14 Sep 2026) - hardy green, day 5</t>
        </is>
      </c>
    </row>
    <row r="219">
      <c r="A219" s="8" t="n">
        <v>46283</v>
      </c>
      <c r="B219" s="3">
        <f>IF(A219="","",TEXT(A219,"ddd"))</f>
        <v/>
      </c>
      <c r="C219" s="3" t="inlineStr">
        <is>
          <t>Steamed rice</t>
        </is>
      </c>
      <c r="D219" s="3" t="inlineStr">
        <is>
          <t>planned (week of 14 Sep 2026)</t>
        </is>
      </c>
    </row>
    <row r="220">
      <c r="A220" s="8" t="n">
        <v>46285</v>
      </c>
      <c r="B220" s="3">
        <f>IF(A220="","",TEXT(A220,"ddd"))</f>
        <v/>
      </c>
      <c r="C220" s="3" t="inlineStr">
        <is>
          <t>Curry fish head 咖喱鱼头</t>
        </is>
      </c>
      <c r="D220" s="3" t="inlineStr">
        <is>
          <t>planned Sunday extra (week of 21 Sep 2026) - fish FILLET not head</t>
        </is>
      </c>
    </row>
    <row r="221">
      <c r="A221" s="8" t="n">
        <v>46286</v>
      </c>
      <c r="B221" s="3">
        <f>IF(A221="","",TEXT(A221,"ddd"))</f>
        <v/>
      </c>
      <c r="C221" s="3" t="inlineStr">
        <is>
          <t>Chicken parm sandwich</t>
        </is>
      </c>
      <c r="D221" s="3" t="inlineStr">
        <is>
          <t>planned (week of 21 Sep 2026) - served as CUTLETS, no sandwich, half breast each; chilli flakes omitted</t>
        </is>
      </c>
    </row>
    <row r="222">
      <c r="A222" s="8" t="n">
        <v>46286</v>
      </c>
      <c r="B222" s="3">
        <f>IF(A222="","",TEXT(A222,"ddd"))</f>
        <v/>
      </c>
      <c r="C222" s="3" t="inlineStr">
        <is>
          <t>Mushroom soup</t>
        </is>
      </c>
      <c r="D222" s="3" t="inlineStr">
        <is>
          <t>planned (week of 21 Sep 2026)</t>
        </is>
      </c>
    </row>
    <row r="223">
      <c r="A223" s="8" t="n">
        <v>46286</v>
      </c>
      <c r="B223" s="3">
        <f>IF(A223="","",TEXT(A223,"ddd"))</f>
        <v/>
      </c>
      <c r="C223" s="3" t="inlineStr">
        <is>
          <t>Roasted vegetables (oven)</t>
        </is>
      </c>
      <c r="D223" s="3" t="inlineStr">
        <is>
          <t>planned (week of 21 Sep 2026) - basil folded in hot</t>
        </is>
      </c>
    </row>
    <row r="224">
      <c r="A224" s="8" t="n">
        <v>46287</v>
      </c>
      <c r="B224" s="3">
        <f>IF(A224="","",TEXT(A224,"ddd"))</f>
        <v/>
      </c>
      <c r="C224" s="3" t="inlineStr">
        <is>
          <t>Teochew braised duck</t>
        </is>
      </c>
      <c r="D224" s="3" t="inlineStr">
        <is>
          <t>planned (week of 21 Sep 2026) - per week file; Ah Gong version was being developed same week, confirm which was actually cooked</t>
        </is>
      </c>
    </row>
    <row r="225">
      <c r="A225" s="8" t="n">
        <v>46287</v>
      </c>
      <c r="B225" s="3">
        <f>IF(A225="","",TEXT(A225,"ddd"))</f>
        <v/>
      </c>
      <c r="C225" s="3" t="inlineStr">
        <is>
          <t>Stir fried vegetable</t>
        </is>
      </c>
      <c r="D225" s="3" t="inlineStr">
        <is>
          <t>planned (week of 21 Sep 2026)</t>
        </is>
      </c>
    </row>
    <row r="226">
      <c r="A226" s="8" t="n">
        <v>46288</v>
      </c>
      <c r="B226" s="3">
        <f>IF(A226="","",TEXT(A226,"ddd"))</f>
        <v/>
      </c>
      <c r="C226" s="3" t="inlineStr">
        <is>
          <t>Kong bak pau (braised pork buns)</t>
        </is>
      </c>
      <c r="D226" s="3" t="inlineStr">
        <is>
          <t>planned (week of 21 Sep 2026) - frozen mantou; scaled down from 25 servings</t>
        </is>
      </c>
    </row>
    <row r="227">
      <c r="A227" s="8" t="n">
        <v>46288</v>
      </c>
      <c r="B227" s="3">
        <f>IF(A227="","",TEXT(A227,"ddd"))</f>
        <v/>
      </c>
      <c r="C227" s="3" t="inlineStr">
        <is>
          <t>Stir fried dou miao</t>
        </is>
      </c>
      <c r="D227" s="3" t="inlineStr">
        <is>
          <t>planned (week of 21 Sep 2026)</t>
        </is>
      </c>
    </row>
    <row r="228">
      <c r="A228" s="8" t="n">
        <v>46288</v>
      </c>
      <c r="B228" s="3">
        <f>IF(A228="","",TEXT(A228,"ddd"))</f>
        <v/>
      </c>
      <c r="C228" s="3" t="inlineStr">
        <is>
          <t>Hot and sour soup</t>
        </is>
      </c>
      <c r="D228" s="3" t="inlineStr">
        <is>
          <t>planned (week of 21 Sep 2026)</t>
        </is>
      </c>
    </row>
    <row r="229">
      <c r="A229" s="8" t="n">
        <v>46289</v>
      </c>
      <c r="B229" s="3">
        <f>IF(A229="","",TEXT(A229,"ddd"))</f>
        <v/>
      </c>
      <c r="C229" s="3" t="inlineStr">
        <is>
          <t>Balinese braised beef</t>
        </is>
      </c>
      <c r="D229" s="3" t="inlineStr">
        <is>
          <t>planned (week of 21 Sep 2026) - FIRST COOK</t>
        </is>
      </c>
    </row>
    <row r="230">
      <c r="A230" s="8" t="n">
        <v>46289</v>
      </c>
      <c r="B230" s="3">
        <f>IF(A230="","",TEXT(A230,"ddd"))</f>
        <v/>
      </c>
      <c r="C230" s="3" t="inlineStr">
        <is>
          <t>Hainanese chap chye</t>
        </is>
      </c>
      <c r="D230" s="3" t="inlineStr">
        <is>
          <t>planned (week of 21 Sep 2026)</t>
        </is>
      </c>
    </row>
    <row r="231">
      <c r="A231" s="8" t="n">
        <v>46289</v>
      </c>
      <c r="B231" s="3">
        <f>IF(A231="","",TEXT(A231,"ddd"))</f>
        <v/>
      </c>
      <c r="C231" s="3" t="inlineStr">
        <is>
          <t>Chinese yam and chicken soup</t>
        </is>
      </c>
      <c r="D231" s="3" t="inlineStr">
        <is>
          <t>planned (week of 21 Sep 2026) - PORK RIB version; EARLY 16d after 8 Sep, cd 21; user approved</t>
        </is>
      </c>
    </row>
    <row r="232">
      <c r="A232" s="8" t="n">
        <v>46290</v>
      </c>
      <c r="B232" s="3">
        <f>IF(A232="","",TEXT(A232,"ddd"))</f>
        <v/>
      </c>
      <c r="C232" s="3" t="inlineStr">
        <is>
          <t>Taiwanese fried rice</t>
        </is>
      </c>
      <c r="D232" s="3" t="inlineStr">
        <is>
          <t>planned (week of 21 Sep 2026)</t>
        </is>
      </c>
    </row>
    <row r="233">
      <c r="A233" s="8" t="n">
        <v>46290</v>
      </c>
      <c r="B233" s="3">
        <f>IF(A233="","",TEXT(A233,"ddd"))</f>
        <v/>
      </c>
      <c r="C233" s="3" t="inlineStr">
        <is>
          <t>Wasabi mayo prawns</t>
        </is>
      </c>
      <c r="D233" s="3" t="inlineStr">
        <is>
          <t>planned (week of 21 Sep 2026) - Kewpie mayo instead of from-scratch</t>
        </is>
      </c>
    </row>
    <row r="234">
      <c r="A234" s="8" t="n">
        <v>46290</v>
      </c>
      <c r="B234" s="3">
        <f>IF(A234="","",TEXT(A234,"ddd"))</f>
        <v/>
      </c>
      <c r="C234" s="3" t="inlineStr">
        <is>
          <t>Radish pork rib soup with dates</t>
        </is>
      </c>
      <c r="D234" s="3" t="inlineStr">
        <is>
          <t>planned (week of 21 Sep 2026) - EARLY 14d after 11 Sep, cd 21; user approved</t>
        </is>
      </c>
    </row>
    <row r="235">
      <c r="A235" s="8" t="n">
        <v>46292</v>
      </c>
      <c r="B235" s="3">
        <f>IF(A235="","",TEXT(A235,"ddd"))</f>
        <v/>
      </c>
      <c r="C235" s="3" t="inlineStr">
        <is>
          <t>Cubano sandwich</t>
        </is>
      </c>
      <c r="D235" s="3" t="inlineStr">
        <is>
          <t>planned Sunday extra (week of 28 Sep 2026) - FIRST COOK; half batch for 4; marinated Sat night</t>
        </is>
      </c>
    </row>
    <row r="236">
      <c r="A236" s="8" t="n">
        <v>46293</v>
      </c>
      <c r="B236" s="3">
        <f>IF(A236="","",TEXT(A236,"ddd"))</f>
        <v/>
      </c>
      <c r="C236" s="3" t="inlineStr">
        <is>
          <t>HK style steamed seabass</t>
        </is>
      </c>
      <c r="D236" s="3" t="inlineStr">
        <is>
          <t>planned (week of 28 Sep 2026) - 2 fish ~600g, steamed one at a time</t>
        </is>
      </c>
    </row>
    <row r="237">
      <c r="A237" s="8" t="n">
        <v>46293</v>
      </c>
      <c r="B237" s="3">
        <f>IF(A237="","",TEXT(A237,"ddd"))</f>
        <v/>
      </c>
      <c r="C237" s="3" t="inlineStr">
        <is>
          <t>Winter melon pork rib soup</t>
        </is>
      </c>
      <c r="D237" s="3" t="inlineStr">
        <is>
          <t>planned (week of 28 Sep 2026) - no recipe; household</t>
        </is>
      </c>
    </row>
    <row r="238">
      <c r="A238" s="8" t="n">
        <v>46293</v>
      </c>
      <c r="B238" s="3">
        <f>IF(A238="","",TEXT(A238,"ddd"))</f>
        <v/>
      </c>
      <c r="C238" s="3" t="inlineStr">
        <is>
          <t>Stir fried vegetable</t>
        </is>
      </c>
      <c r="D238" s="3" t="inlineStr">
        <is>
          <t>planned (week of 28 Sep 2026)</t>
        </is>
      </c>
    </row>
    <row r="239">
      <c r="A239" s="8" t="n">
        <v>46293</v>
      </c>
      <c r="B239" s="3">
        <f>IF(A239="","",TEXT(A239,"ddd"))</f>
        <v/>
      </c>
      <c r="C239" s="3" t="inlineStr">
        <is>
          <t>Steamed rice</t>
        </is>
      </c>
      <c r="D239" s="3" t="inlineStr">
        <is>
          <t>planned (week of 28 Sep 2026)</t>
        </is>
      </c>
    </row>
    <row r="240">
      <c r="A240" s="8" t="n">
        <v>46294</v>
      </c>
      <c r="B240" s="3">
        <f>IF(A240="","",TEXT(A240,"ddd"))</f>
        <v/>
      </c>
      <c r="C240" s="3" t="inlineStr">
        <is>
          <t>Hey zho (prawn rolls)</t>
        </is>
      </c>
      <c r="D240" s="3" t="inlineStr">
        <is>
          <t>planned (week of 28 Sep 2026) - FIRST COOK; recipes/hey-zho.md, 13 rolls</t>
        </is>
      </c>
    </row>
    <row r="241">
      <c r="A241" s="8" t="n">
        <v>46294</v>
      </c>
      <c r="B241" s="3">
        <f>IF(A241="","",TEXT(A241,"ddd"))</f>
        <v/>
      </c>
      <c r="C241" s="3" t="inlineStr">
        <is>
          <t>Pan-fried salmon</t>
        </is>
      </c>
      <c r="D241" s="3" t="inlineStr">
        <is>
          <t>planned (week of 28 Sep 2026) - FIRST COOK; no recipe</t>
        </is>
      </c>
    </row>
    <row r="242">
      <c r="A242" s="8" t="n">
        <v>46294</v>
      </c>
      <c r="B242" s="3">
        <f>IF(A242="","",TEXT(A242,"ddd"))</f>
        <v/>
      </c>
      <c r="C242" s="3" t="inlineStr">
        <is>
          <t>ABC soup</t>
        </is>
      </c>
      <c r="D242" s="3" t="inlineStr">
        <is>
          <t>planned (week of 28 Sep 2026) - picked by Claude, Tuesday soup was unspecified</t>
        </is>
      </c>
    </row>
    <row r="243">
      <c r="A243" s="8" t="n">
        <v>46295</v>
      </c>
      <c r="B243" s="3">
        <f>IF(A243="","",TEXT(A243,"ddd"))</f>
        <v/>
      </c>
      <c r="C243" s="3" t="inlineStr">
        <is>
          <t>Cheesy baked rice</t>
        </is>
      </c>
      <c r="D243" s="3" t="inlineStr">
        <is>
          <t>planned (week of 28 Sep 2026) - ESTIMATED recipe, not the family method</t>
        </is>
      </c>
    </row>
    <row r="244">
      <c r="A244" s="8" t="n">
        <v>46295</v>
      </c>
      <c r="B244" s="3">
        <f>IF(A244="","",TEXT(A244,"ddd"))</f>
        <v/>
      </c>
      <c r="C244" s="3" t="inlineStr">
        <is>
          <t>Campbell's mushroom soup</t>
        </is>
      </c>
      <c r="D244" s="3" t="inlineStr">
        <is>
          <t>planned (week of 28 Sep 2026)</t>
        </is>
      </c>
    </row>
    <row r="245">
      <c r="A245" s="8" t="n">
        <v>46296</v>
      </c>
      <c r="B245" s="3">
        <f>IF(A245="","",TEXT(A245,"ddd"))</f>
        <v/>
      </c>
      <c r="C245" s="3" t="inlineStr">
        <is>
          <t>Braised oxtail (Hainanese style)</t>
        </is>
      </c>
      <c r="D245" s="3" t="inlineStr">
        <is>
          <t>planned (week of 28 Sep 2026) - FIRST COOK; shank if no oxtail</t>
        </is>
      </c>
    </row>
    <row r="246">
      <c r="A246" s="8" t="n">
        <v>46296</v>
      </c>
      <c r="B246" s="3">
        <f>IF(A246="","",TEXT(A246,"ddd"))</f>
        <v/>
      </c>
      <c r="C246" s="3" t="inlineStr">
        <is>
          <t>Hot and sour soup</t>
        </is>
      </c>
      <c r="D246" s="3" t="inlineStr">
        <is>
          <t>planned (week of 28 Sep 2026) - EARLY 8d after 23 Sep, cd 21; user approved</t>
        </is>
      </c>
    </row>
    <row r="247">
      <c r="A247" s="8" t="n">
        <v>46296</v>
      </c>
      <c r="B247" s="3">
        <f>IF(A247="","",TEXT(A247,"ddd"))</f>
        <v/>
      </c>
      <c r="C247" s="3" t="inlineStr">
        <is>
          <t>Stir fried vegetable</t>
        </is>
      </c>
      <c r="D247" s="3" t="inlineStr">
        <is>
          <t>planned (week of 28 Sep 2026)</t>
        </is>
      </c>
    </row>
    <row r="248">
      <c r="A248" s="8" t="n">
        <v>46296</v>
      </c>
      <c r="B248" s="3">
        <f>IF(A248="","",TEXT(A248,"ddd"))</f>
        <v/>
      </c>
      <c r="C248" s="3" t="inlineStr">
        <is>
          <t>Steamed rice</t>
        </is>
      </c>
      <c r="D248" s="3" t="inlineStr">
        <is>
          <t>planned (week of 28 Sep 2026)</t>
        </is>
      </c>
    </row>
    <row r="249">
      <c r="A249" s="8" t="n">
        <v>46297</v>
      </c>
      <c r="B249" s="3">
        <f>IF(A249="","",TEXT(A249,"ddd"))</f>
        <v/>
      </c>
      <c r="C249" s="3" t="inlineStr">
        <is>
          <t>Pulled pork burger</t>
        </is>
      </c>
      <c r="D249" s="3" t="inlineStr">
        <is>
          <t>planned (week of 28 Sep 2026) - served as SANDWICH on regular bread; no coleslaw</t>
        </is>
      </c>
    </row>
    <row r="250">
      <c r="A250" s="8" t="n">
        <v>46297</v>
      </c>
      <c r="B250" s="3">
        <f>IF(A250="","",TEXT(A250,"ddd"))</f>
        <v/>
      </c>
      <c r="C250" s="3" t="inlineStr">
        <is>
          <t>Grilled broccoli &amp; carrots</t>
        </is>
      </c>
      <c r="D250" s="3" t="inlineStr">
        <is>
          <t>planned (week of 28 Sep 2026) - with capsicum</t>
        </is>
      </c>
    </row>
    <row r="251">
      <c r="A251" s="8" t="n">
        <v>46299</v>
      </c>
      <c r="B251" s="3">
        <f>IF(A251="","",TEXT(A251,"ddd"))</f>
        <v/>
      </c>
      <c r="C251" s="3" t="inlineStr">
        <is>
          <t>Japchae 잡채</t>
        </is>
      </c>
      <c r="D251" s="3" t="inlineStr">
        <is>
          <t>planned Sunday extra (week of 5 Oct 2026) - FIRST COOK; recipes/japchae.md pre-scaled 5.5</t>
        </is>
      </c>
    </row>
    <row r="252">
      <c r="A252" s="8" t="n">
        <v>46300</v>
      </c>
      <c r="B252" s="3">
        <f>IF(A252="","",TEXT(A252,"ddd"))</f>
        <v/>
      </c>
      <c r="C252" s="3" t="inlineStr">
        <is>
          <t>Hakka yam pork belly 芋头扣肉</t>
        </is>
      </c>
      <c r="D252" s="3" t="inlineStr">
        <is>
          <t>planned (week of 5 Oct 2026) - FIRST COOK; steam Sun night, rice cooker busy Mon</t>
        </is>
      </c>
    </row>
    <row r="253">
      <c r="A253" s="8" t="n">
        <v>46300</v>
      </c>
      <c r="B253" s="3">
        <f>IF(A253="","",TEXT(A253,"ddd"))</f>
        <v/>
      </c>
      <c r="C253" s="3" t="inlineStr">
        <is>
          <t>Stir-fried eggs with Chinese sausage 腊肠炒蛋</t>
        </is>
      </c>
      <c r="D253" s="3" t="inlineStr">
        <is>
          <t>planned (week of 5 Oct 2026) - FIRST COOK; household, no recipe; eggs cooked firm</t>
        </is>
      </c>
    </row>
    <row r="254">
      <c r="A254" s="8" t="n">
        <v>46300</v>
      </c>
      <c r="B254" s="3">
        <f>IF(A254="","",TEXT(A254,"ddd"))</f>
        <v/>
      </c>
      <c r="C254" s="3" t="inlineStr">
        <is>
          <t>Watercress pork rib soup</t>
        </is>
      </c>
      <c r="D254" s="3" t="inlineStr">
        <is>
          <t>planned (week of 5 Oct 2026) - picked by Claude - Monday soup was "no bamboo shoot"</t>
        </is>
      </c>
    </row>
    <row r="255">
      <c r="A255" s="8" t="n">
        <v>46300</v>
      </c>
      <c r="B255" s="3">
        <f>IF(A255="","",TEXT(A255,"ddd"))</f>
        <v/>
      </c>
      <c r="C255" s="3" t="inlineStr">
        <is>
          <t>Steamed rice</t>
        </is>
      </c>
      <c r="D255" s="3" t="inlineStr">
        <is>
          <t>planned (week of 5 Oct 2026)</t>
        </is>
      </c>
    </row>
    <row r="256">
      <c r="A256" s="8" t="n">
        <v>46301</v>
      </c>
      <c r="B256" s="3">
        <f>IF(A256="","",TEXT(A256,"ddd"))</f>
        <v/>
      </c>
      <c r="C256" s="3" t="inlineStr">
        <is>
          <t>Steamed baby threadfin</t>
        </is>
      </c>
      <c r="D256" s="3" t="inlineStr">
        <is>
          <t>planned (week of 5 Oct 2026) - picked by Claude for "some steamed fish"</t>
        </is>
      </c>
    </row>
    <row r="257">
      <c r="A257" s="8" t="n">
        <v>46301</v>
      </c>
      <c r="B257" s="3">
        <f>IF(A257="","",TEXT(A257,"ddd"))</f>
        <v/>
      </c>
      <c r="C257" s="3" t="inlineStr">
        <is>
          <t>Fried chicken wings</t>
        </is>
      </c>
      <c r="D257" s="3" t="inlineStr">
        <is>
          <t>planned (week of 5 Oct 2026) - replaced Thai fishcakes (user, 3 Oct); ~1.6kg wings</t>
        </is>
      </c>
    </row>
    <row r="258">
      <c r="A258" s="8" t="n">
        <v>46301</v>
      </c>
      <c r="B258" s="3">
        <f>IF(A258="","",TEXT(A258,"ddd"))</f>
        <v/>
      </c>
      <c r="C258" s="3" t="inlineStr">
        <is>
          <t>Stir fried vegetable</t>
        </is>
      </c>
      <c r="D258" s="3" t="inlineStr">
        <is>
          <t>planned (week of 5 Oct 2026)</t>
        </is>
      </c>
    </row>
    <row r="259">
      <c r="A259" s="8" t="n">
        <v>46301</v>
      </c>
      <c r="B259" s="3">
        <f>IF(A259="","",TEXT(A259,"ddd"))</f>
        <v/>
      </c>
      <c r="C259" s="3" t="inlineStr">
        <is>
          <t>Steamed rice</t>
        </is>
      </c>
      <c r="D259" s="3" t="inlineStr">
        <is>
          <t>planned (week of 5 Oct 2026)</t>
        </is>
      </c>
    </row>
    <row r="260">
      <c r="A260" s="8" t="n">
        <v>46302</v>
      </c>
      <c r="B260" s="3">
        <f>IF(A260="","",TEXT(A260,"ddd"))</f>
        <v/>
      </c>
      <c r="C260" s="3" t="inlineStr">
        <is>
          <t>Japanese curry rice</t>
        </is>
      </c>
      <c r="D260" s="3" t="inlineStr">
        <is>
          <t>planned (week of 5 Oct 2026) - ~600g chicken (estimate); chilli reduced for the child</t>
        </is>
      </c>
    </row>
    <row r="261">
      <c r="A261" s="8" t="n">
        <v>46302</v>
      </c>
      <c r="B261" s="3">
        <f>IF(A261="","",TEXT(A261,"ddd"))</f>
        <v/>
      </c>
      <c r="C261" s="3" t="inlineStr">
        <is>
          <t>Fishball soup with cabbage</t>
        </is>
      </c>
      <c r="D261" s="3" t="inlineStr">
        <is>
          <t>planned (week of 5 Oct 2026) - FIRST COOK; picked by Claude; household, no recipe</t>
        </is>
      </c>
    </row>
    <row r="262">
      <c r="A262" s="8" t="n">
        <v>46304</v>
      </c>
      <c r="B262" s="3">
        <f>IF(A262="","",TEXT(A262,"ddd"))</f>
        <v/>
      </c>
      <c r="C262" s="3" t="inlineStr">
        <is>
          <t>Shepherd's pie</t>
        </is>
      </c>
      <c r="D262" s="3" t="inlineStr">
        <is>
          <t>planned (week of 5 Oct 2026) - lamb ~1kg for 5.5 (or beef)</t>
        </is>
      </c>
    </row>
    <row r="263">
      <c r="A263" s="8" t="n">
        <v>46304</v>
      </c>
      <c r="B263" s="3">
        <f>IF(A263="","",TEXT(A263,"ddd"))</f>
        <v/>
      </c>
      <c r="C263" s="3" t="inlineStr">
        <is>
          <t>Mushroom soup</t>
        </is>
      </c>
      <c r="D263" s="3" t="inlineStr">
        <is>
          <t>planned (week of 5 Oct 2026) - EARLY 18d after 21 Sep, cd 28; user approved; no cream this time</t>
        </is>
      </c>
    </row>
    <row r="264">
      <c r="A264" s="8" t="n">
        <v>46306</v>
      </c>
      <c r="B264" s="3">
        <f>IF(A264="","",TEXT(A264,"ddd"))</f>
        <v/>
      </c>
      <c r="C264" s="3" t="inlineStr">
        <is>
          <t>Beef hayashi rice</t>
        </is>
      </c>
      <c r="D264" s="3" t="inlineStr">
        <is>
          <t>planned Sunday extra (week of 12 Oct 2026) - FIRST COOK; as written</t>
        </is>
      </c>
    </row>
    <row r="265">
      <c r="A265" s="8" t="n">
        <v>46307</v>
      </c>
      <c r="B265" s="3">
        <f>IF(A265="","",TEXT(A265,"ddd"))</f>
        <v/>
      </c>
      <c r="C265" s="3" t="inlineStr">
        <is>
          <t>Greek lemon chicken</t>
        </is>
      </c>
      <c r="D265" s="3" t="inlineStr">
        <is>
          <t>planned (week of 12 Oct 2026) - FIRST COOK; the 5 thighs at home; marinade x0.6</t>
        </is>
      </c>
    </row>
    <row r="266">
      <c r="A266" s="8" t="n">
        <v>46307</v>
      </c>
      <c r="B266" s="3">
        <f>IF(A266="","",TEXT(A266,"ddd"))</f>
        <v/>
      </c>
      <c r="C266" s="3" t="inlineStr">
        <is>
          <t>Crispy roast potatoes</t>
        </is>
      </c>
      <c r="D266" s="3" t="inlineStr">
        <is>
          <t>planned (week of 12 Oct 2026) - recipes/roast-potatoes.md 1.5kg</t>
        </is>
      </c>
    </row>
    <row r="267">
      <c r="A267" s="8" t="n">
        <v>46307</v>
      </c>
      <c r="B267" s="3">
        <f>IF(A267="","",TEXT(A267,"ddd"))</f>
        <v/>
      </c>
      <c r="C267" s="3" t="inlineStr">
        <is>
          <t>Roasted vegetables (oven)</t>
        </is>
      </c>
      <c r="D267" s="3" t="inlineStr">
        <is>
          <t>planned (week of 12 Oct 2026) - no potato wedges; x1.25</t>
        </is>
      </c>
    </row>
    <row r="268">
      <c r="A268" s="8" t="n">
        <v>46308</v>
      </c>
      <c r="B268" s="3">
        <f>IF(A268="","",TEXT(A268,"ddd"))</f>
        <v/>
      </c>
      <c r="C268" s="3" t="inlineStr">
        <is>
          <t>Steamed pomfret</t>
        </is>
      </c>
      <c r="D268" s="3" t="inlineStr">
        <is>
          <t>planned (week of 12 Oct 2026) - 2 fish 500-600g, steamed one at a time</t>
        </is>
      </c>
    </row>
    <row r="269">
      <c r="A269" s="8" t="n">
        <v>46308</v>
      </c>
      <c r="B269" s="3">
        <f>IF(A269="","",TEXT(A269,"ddd"))</f>
        <v/>
      </c>
      <c r="C269" s="3" t="inlineStr">
        <is>
          <t>Stir fried dou miao</t>
        </is>
      </c>
      <c r="D269" s="3" t="inlineStr">
        <is>
          <t>planned (week of 12 Oct 2026) - x2</t>
        </is>
      </c>
    </row>
    <row r="270">
      <c r="A270" s="8" t="n">
        <v>46308</v>
      </c>
      <c r="B270" s="3">
        <f>IF(A270="","",TEXT(A270,"ddd"))</f>
        <v/>
      </c>
      <c r="C270" s="3" t="inlineStr">
        <is>
          <t>Pork rib king</t>
        </is>
      </c>
      <c r="D270" s="3" t="inlineStr">
        <is>
          <t>planned (week of 12 Oct 2026) - x1.5; method in the video</t>
        </is>
      </c>
    </row>
    <row r="271">
      <c r="A271" s="8" t="n">
        <v>46309</v>
      </c>
      <c r="B271" s="3">
        <f>IF(A271="","",TEXT(A271,"ddd"))</f>
        <v/>
      </c>
      <c r="C271" s="3" t="inlineStr">
        <is>
          <t>Chicken curry</t>
        </is>
      </c>
      <c r="D271" s="3" t="inlineStr">
        <is>
          <t>planned (week of 12 Oct 2026) - dried chillies cut to 3-4</t>
        </is>
      </c>
    </row>
    <row r="272">
      <c r="A272" s="8" t="n">
        <v>46309</v>
      </c>
      <c r="B272" s="3">
        <f>IF(A272="","",TEXT(A272,"ddd"))</f>
        <v/>
      </c>
      <c r="C272" s="3" t="inlineStr">
        <is>
          <t>Frozen prata</t>
        </is>
      </c>
      <c r="D272" s="3" t="inlineStr">
        <is>
          <t>planned (week of 12 Oct 2026) - store-bought</t>
        </is>
      </c>
    </row>
    <row r="273">
      <c r="A273" s="8" t="n">
        <v>46310</v>
      </c>
      <c r="B273" s="3">
        <f>IF(A273="","",TEXT(A273,"ddd"))</f>
        <v/>
      </c>
      <c r="C273" s="3" t="inlineStr">
        <is>
          <t>Black pepper beef</t>
        </is>
      </c>
      <c r="D273" s="3" t="inlineStr">
        <is>
          <t>planned (week of 12 Oct 2026) - FIRST COOK; 400g; method inferred</t>
        </is>
      </c>
    </row>
    <row r="274">
      <c r="A274" s="8" t="n">
        <v>46310</v>
      </c>
      <c r="B274" s="3">
        <f>IF(A274="","",TEXT(A274,"ddd"))</f>
        <v/>
      </c>
      <c r="C274" s="3" t="inlineStr">
        <is>
          <t>Water steamed egg</t>
        </is>
      </c>
      <c r="D274" s="3" t="inlineStr">
        <is>
          <t>planned (week of 12 Oct 2026) - FIRST COOK; no meat; set through</t>
        </is>
      </c>
    </row>
    <row r="275">
      <c r="A275" s="8" t="n">
        <v>46310</v>
      </c>
      <c r="B275" s="3">
        <f>IF(A275="","",TEXT(A275,"ddd"))</f>
        <v/>
      </c>
      <c r="C275" s="3" t="inlineStr">
        <is>
          <t>Stir fried French beans with dried shrimp</t>
        </is>
      </c>
      <c r="D275" s="3" t="inlineStr">
        <is>
          <t>planned (week of 12 Oct 2026) - FIRST COOK; as written</t>
        </is>
      </c>
    </row>
    <row r="276">
      <c r="A276" s="8" t="n">
        <v>46311</v>
      </c>
      <c r="B276" s="3">
        <f>IF(A276="","",TEXT(A276,"ddd"))</f>
        <v/>
      </c>
      <c r="C276" s="3" t="inlineStr">
        <is>
          <t>Taiwanese braised pork rice</t>
        </is>
      </c>
      <c r="D276" s="3" t="inlineStr">
        <is>
          <t>planned (week of 12 Oct 2026) - as written; method in the video</t>
        </is>
      </c>
    </row>
    <row r="277">
      <c r="A277" s="8" t="n">
        <v>46313</v>
      </c>
      <c r="B277" s="3">
        <f>IF(A277="","",TEXT(A277,"ddd"))</f>
        <v/>
      </c>
      <c r="C277" s="3" t="inlineStr">
        <is>
          <t>Green curry</t>
        </is>
      </c>
      <c r="D277" s="3" t="inlineStr">
        <is>
          <t>planned Sunday extra (week of 19 Oct 2026) - FIRST COOK; Sunday extra for 3; Dancing Chef packet; eggplant, long beans, carrot</t>
        </is>
      </c>
    </row>
    <row r="278">
      <c r="A278" s="8" t="n">
        <v>46313</v>
      </c>
      <c r="B278" s="3">
        <f>IF(A278="","",TEXT(A278,"ddd"))</f>
        <v/>
      </c>
      <c r="C278" s="3" t="inlineStr">
        <is>
          <t>Steamed rice</t>
        </is>
      </c>
      <c r="D278" s="3" t="inlineStr">
        <is>
          <t>planned Sunday extra (week of 19 Oct 2026) - jasmine rice, 3 cups (for 3 pax)</t>
        </is>
      </c>
    </row>
    <row r="279">
      <c r="A279" s="8" t="n">
        <v>46314</v>
      </c>
      <c r="B279" s="3">
        <f>IF(A279="","",TEXT(A279,"ddd"))</f>
        <v/>
      </c>
      <c r="C279" s="3" t="inlineStr">
        <is>
          <t>Fragrant glutinous rice</t>
        </is>
      </c>
      <c r="D279" s="3" t="inlineStr">
        <is>
          <t>planned (week of 19 Oct 2026) - FIRST COOK; for 5.5 pax; + 300g pork belly; wok then rice cooker, water 1:1; soak 2h</t>
        </is>
      </c>
    </row>
    <row r="280">
      <c r="A280" s="8" t="n">
        <v>46314</v>
      </c>
      <c r="B280" s="3">
        <f>IF(A280="","",TEXT(A280,"ddd"))</f>
        <v/>
      </c>
      <c r="C280" s="3" t="inlineStr">
        <is>
          <t>Stir fried vegetable</t>
        </is>
      </c>
      <c r="D280" s="3" t="inlineStr">
        <is>
          <t>planned (week of 19 Oct 2026) - choy sum</t>
        </is>
      </c>
    </row>
    <row r="281">
      <c r="A281" s="8" t="n">
        <v>46315</v>
      </c>
      <c r="B281" s="3">
        <f>IF(A281="","",TEXT(A281,"ddd"))</f>
        <v/>
      </c>
      <c r="C281" s="3" t="inlineStr">
        <is>
          <t>Thai style steamed seabass</t>
        </is>
      </c>
      <c r="D281" s="3" t="inlineStr">
        <is>
          <t>planned (week of 19 Oct 2026) - one fish; sauce finely chopped and simmered; chilli seeds out; no cabbage</t>
        </is>
      </c>
    </row>
    <row r="282">
      <c r="A282" s="8" t="n">
        <v>46315</v>
      </c>
      <c r="B282" s="3">
        <f>IF(A282="","",TEXT(A282,"ddd"))</f>
        <v/>
      </c>
      <c r="C282" s="3" t="inlineStr">
        <is>
          <t>Stir fried French beans with dried shrimp</t>
        </is>
      </c>
      <c r="D282" s="3" t="inlineStr">
        <is>
          <t>planned (week of 19 Oct 2026) - EARLY 5d after 15 Oct, cd 21; user approved; si ji dou; user asked for it again; now with a dried shrimp sambal (NoobCook technique)</t>
        </is>
      </c>
    </row>
    <row r="283">
      <c r="A283" s="8" t="n">
        <v>46315</v>
      </c>
      <c r="B283" s="3">
        <f>IF(A283="","",TEXT(A283,"ddd"))</f>
        <v/>
      </c>
      <c r="C283" s="3" t="inlineStr">
        <is>
          <t>Steamed fish paste with minced meat</t>
        </is>
      </c>
      <c r="D283" s="3" t="inlineStr">
        <is>
          <t>planned (week of 19 Oct 2026) - FIRST COOK; user's recipe, garlic-heavy, steam 15 min</t>
        </is>
      </c>
    </row>
    <row r="284">
      <c r="A284" s="8" t="n">
        <v>46315</v>
      </c>
      <c r="B284" s="3">
        <f>IF(A284="","",TEXT(A284,"ddd"))</f>
        <v/>
      </c>
      <c r="C284" s="3" t="inlineStr">
        <is>
          <t>Steamed rice</t>
        </is>
      </c>
      <c r="D284" s="3" t="inlineStr">
        <is>
          <t>planned (week of 19 Oct 2026)</t>
        </is>
      </c>
    </row>
    <row r="285">
      <c r="A285" s="8" t="n">
        <v>46316</v>
      </c>
      <c r="B285" s="3">
        <f>IF(A285="","",TEXT(A285,"ddd"))</f>
        <v/>
      </c>
      <c r="C285" s="3" t="inlineStr">
        <is>
          <t>Yam rice</t>
        </is>
      </c>
      <c r="D285" s="3" t="inlineStr">
        <is>
          <t>planned (week of 19 Oct 2026) - FIRST COOK; with pork belly</t>
        </is>
      </c>
    </row>
    <row r="286">
      <c r="A286" s="8" t="n">
        <v>46316</v>
      </c>
      <c r="B286" s="3">
        <f>IF(A286="","",TEXT(A286,"ddd"))</f>
        <v/>
      </c>
      <c r="C286" s="3" t="inlineStr">
        <is>
          <t>Baked chicken wings</t>
        </is>
      </c>
      <c r="D286" s="3" t="inlineStr">
        <is>
          <t>planned (week of 19 Oct 2026) - FIRST COOK; 12 individually frozen mid wings (2 per person)</t>
        </is>
      </c>
    </row>
    <row r="287">
      <c r="A287" s="8" t="n">
        <v>46316</v>
      </c>
      <c r="B287" s="3">
        <f>IF(A287="","",TEXT(A287,"ddd"))</f>
        <v/>
      </c>
      <c r="C287" s="3" t="inlineStr">
        <is>
          <t>Fishball soup with cabbage</t>
        </is>
      </c>
      <c r="D287" s="3" t="inlineStr">
        <is>
          <t>planned (week of 19 Oct 2026) - EARLY 14d after 7 Oct, cd 21; user approved; fishballs and wawa vegetable, no pork (user, 18 Oct)</t>
        </is>
      </c>
    </row>
    <row r="288">
      <c r="A288" s="8" t="n">
        <v>46317</v>
      </c>
      <c r="B288" s="3">
        <f>IF(A288="","",TEXT(A288,"ddd"))</f>
        <v/>
      </c>
      <c r="C288" s="3" t="inlineStr">
        <is>
          <t>Pan-fried threadfin with leek</t>
        </is>
      </c>
      <c r="D288" s="3" t="inlineStr">
        <is>
          <t>planned (week of 19 Oct 2026) - household</t>
        </is>
      </c>
    </row>
    <row r="289">
      <c r="A289" s="8" t="n">
        <v>46317</v>
      </c>
      <c r="B289" s="3">
        <f>IF(A289="","",TEXT(A289,"ddd"))</f>
        <v/>
      </c>
      <c r="C289" s="3" t="inlineStr">
        <is>
          <t>Enoki with pork wrap</t>
        </is>
      </c>
      <c r="D289" s="3" t="inlineStr">
        <is>
          <t>planned (week of 19 Oct 2026) - FIRST COOK; 16 rolls; enoki cooked soft</t>
        </is>
      </c>
    </row>
    <row r="290">
      <c r="A290" s="8" t="n">
        <v>46317</v>
      </c>
      <c r="B290" s="3">
        <f>IF(A290="","",TEXT(A290,"ddd"))</f>
        <v/>
      </c>
      <c r="C290" s="3" t="inlineStr">
        <is>
          <t>Stir fried vegetable</t>
        </is>
      </c>
      <c r="D290" s="3" t="inlineStr">
        <is>
          <t>planned (week of 19 Oct 2026)</t>
        </is>
      </c>
    </row>
    <row r="291">
      <c r="A291" s="8" t="n">
        <v>46317</v>
      </c>
      <c r="B291" s="3">
        <f>IF(A291="","",TEXT(A291,"ddd"))</f>
        <v/>
      </c>
      <c r="C291" s="3" t="inlineStr">
        <is>
          <t>Steamed rice</t>
        </is>
      </c>
      <c r="D291" s="3" t="inlineStr">
        <is>
          <t>planned (week of 19 Oct 2026) - my addition</t>
        </is>
      </c>
    </row>
    <row r="292">
      <c r="A292" s="8" t="n">
        <v>46318</v>
      </c>
      <c r="B292" s="3">
        <f>IF(A292="","",TEXT(A292,"ddd"))</f>
        <v/>
      </c>
      <c r="C292" s="3" t="inlineStr">
        <is>
          <t>Pork krapow (Pad Kra Pao)</t>
        </is>
      </c>
      <c r="D292" s="3" t="inlineStr">
        <is>
          <t>planned (week of 19 Oct 2026) - 500g pork; chilli seeds out; yolk firm; no prik nam pla</t>
        </is>
      </c>
    </row>
    <row r="293">
      <c r="A293" s="8" t="n">
        <v>46318</v>
      </c>
      <c r="B293" s="3">
        <f>IF(A293="","",TEXT(A293,"ddd"))</f>
        <v/>
      </c>
      <c r="C293" s="3" t="inlineStr">
        <is>
          <t>Stir-fried eggs and prawns</t>
        </is>
      </c>
      <c r="D293" s="3" t="inlineStr">
        <is>
          <t>planned (week of 19 Oct 2026) - household</t>
        </is>
      </c>
    </row>
    <row r="294">
      <c r="A294" s="8" t="n">
        <v>46318</v>
      </c>
      <c r="B294" s="3">
        <f>IF(A294="","",TEXT(A294,"ddd"))</f>
        <v/>
      </c>
      <c r="C294" s="3" t="inlineStr">
        <is>
          <t>Stir fried vegetable</t>
        </is>
      </c>
      <c r="D294" s="3" t="inlineStr">
        <is>
          <t>planned (week of 19 Oct 2026)</t>
        </is>
      </c>
    </row>
    <row r="295">
      <c r="A295" s="8" t="n">
        <v>46318</v>
      </c>
      <c r="B295" s="3">
        <f>IF(A295="","",TEXT(A295,"ddd"))</f>
        <v/>
      </c>
      <c r="C295" s="3" t="inlineStr">
        <is>
          <t>Steamed rice</t>
        </is>
      </c>
      <c r="D295" s="3" t="inlineStr">
        <is>
          <t>planned (week of 19 Oct 2026)</t>
        </is>
      </c>
    </row>
    <row r="296">
      <c r="A296" s="2" t="n"/>
      <c r="B296" s="3">
        <f>IF(A296="","",TEXT(A296,"ddd"))</f>
        <v/>
      </c>
    </row>
    <row r="297">
      <c r="A297" s="2" t="n"/>
      <c r="B297" s="3">
        <f>IF(A297="","",TEXT(A297,"ddd"))</f>
        <v/>
      </c>
    </row>
    <row r="298">
      <c r="A298" s="2" t="n"/>
      <c r="B298" s="3">
        <f>IF(A298="","",TEXT(A298,"ddd"))</f>
        <v/>
      </c>
    </row>
    <row r="299">
      <c r="A299" s="2" t="n"/>
      <c r="B299" s="3">
        <f>IF(A299="","",TEXT(A299,"ddd"))</f>
        <v/>
      </c>
    </row>
    <row r="300">
      <c r="A300" s="2" t="n"/>
      <c r="B300" s="3">
        <f>IF(A300="","",TEXT(A300,"ddd"))</f>
        <v/>
      </c>
    </row>
  </sheetData>
  <autoFilter ref="A1:D300"/>
  <dataValidations count="1">
    <dataValidation sqref="C2:C300" showDropDown="0" showInputMessage="0" showErrorMessage="0" allowBlank="1" errorTitle="New dish?" error="Dish not in master list. Add it to the Dish rotation tab to start tracking it." type="list" errorStyle="warning">
      <formula1>='Dish rotation'!$A$2:$A$62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16" customWidth="1" min="7" max="7"/>
    <col width="32" customWidth="1" min="8" max="8"/>
  </cols>
  <sheetData>
    <row r="1" ht="22" customHeight="1">
      <c r="A1" s="1" t="inlineStr">
        <is>
          <t>Dish</t>
        </is>
      </c>
      <c r="B1" s="1" t="inlineStr">
        <is>
          <t>Category</t>
        </is>
      </c>
      <c r="C1" s="1" t="inlineStr">
        <is>
          <t>Last cooked</t>
        </is>
      </c>
      <c r="D1" s="1" t="inlineStr">
        <is>
          <t>Days since</t>
        </is>
      </c>
      <c r="E1" s="1" t="inlineStr">
        <is>
          <t>Cook count</t>
        </is>
      </c>
      <c r="F1" s="1" t="inlineStr">
        <is>
          <t>Cool-down (days)</t>
        </is>
      </c>
      <c r="G1" s="1" t="inlineStr">
        <is>
          <t>Status</t>
        </is>
      </c>
      <c r="H1" s="1" t="inlineStr">
        <is>
          <t>Notes</t>
        </is>
      </c>
    </row>
    <row r="2">
      <c r="A2" s="4" t="inlineStr">
        <is>
          <t>Taiwanese pork chop</t>
        </is>
      </c>
      <c r="B2" s="4" t="inlineStr">
        <is>
          <t>Pork</t>
        </is>
      </c>
      <c r="C2" s="5">
        <f>IFERROR(IF(MAXIFS('Cook log'!A2:A1000,'Cook log'!C2:C1000,A2)=0,"",MAXIFS('Cook log'!A2:A1000,'Cook log'!C2:C1000,A2)),"")</f>
        <v/>
      </c>
      <c r="D2" s="4">
        <f>IF(C2="","",TODAY()-C2)</f>
        <v/>
      </c>
      <c r="E2" s="4">
        <f>COUNTIF('Cook log'!C2:C1000,A2)</f>
        <v/>
      </c>
      <c r="F2" s="6" t="n">
        <v>21</v>
      </c>
      <c r="G2" s="6">
        <f>IF(C2="","Never cooked",IF(D2&lt;F2,"Cooldown","Due"))</f>
        <v/>
      </c>
      <c r="H2" s="4" t="inlineStr"/>
    </row>
    <row r="3">
      <c r="A3" s="4" t="inlineStr">
        <is>
          <t>Fried rice with prawns</t>
        </is>
      </c>
      <c r="B3" s="4" t="inlineStr">
        <is>
          <t>Prawn</t>
        </is>
      </c>
      <c r="C3" s="5">
        <f>IFERROR(IF(MAXIFS('Cook log'!A2:A1000,'Cook log'!C2:C1000,A3)=0,"",MAXIFS('Cook log'!A2:A1000,'Cook log'!C2:C1000,A3)),"")</f>
        <v/>
      </c>
      <c r="D3" s="4">
        <f>IF(C3="","",TODAY()-C3)</f>
        <v/>
      </c>
      <c r="E3" s="4">
        <f>COUNTIF('Cook log'!C2:C1000,A3)</f>
        <v/>
      </c>
      <c r="F3" s="6" t="n">
        <v>14</v>
      </c>
      <c r="G3" s="6">
        <f>IF(C3="","Never cooked",IF(D3&lt;F3,"Cooldown","Due"))</f>
        <v/>
      </c>
      <c r="H3" s="4" t="inlineStr"/>
    </row>
    <row r="4">
      <c r="A4" s="4" t="inlineStr">
        <is>
          <t>Steamed pomfret</t>
        </is>
      </c>
      <c r="B4" s="4" t="inlineStr">
        <is>
          <t>Fish</t>
        </is>
      </c>
      <c r="C4" s="5">
        <f>IFERROR(IF(MAXIFS('Cook log'!A2:A1000,'Cook log'!C2:C1000,A4)=0,"",MAXIFS('Cook log'!A2:A1000,'Cook log'!C2:C1000,A4)),"")</f>
        <v/>
      </c>
      <c r="D4" s="4">
        <f>IF(C4="","",TODAY()-C4)</f>
        <v/>
      </c>
      <c r="E4" s="4">
        <f>COUNTIF('Cook log'!C2:C1000,A4)</f>
        <v/>
      </c>
      <c r="F4" s="6" t="n">
        <v>21</v>
      </c>
      <c r="G4" s="6">
        <f>IF(C4="","Never cooked",IF(D4&lt;F4,"Cooldown","Due"))</f>
        <v/>
      </c>
      <c r="H4" s="4" t="inlineStr"/>
    </row>
    <row r="5">
      <c r="A5" s="4" t="inlineStr">
        <is>
          <t>Pork rib king</t>
        </is>
      </c>
      <c r="B5" s="4" t="inlineStr">
        <is>
          <t>Pork</t>
        </is>
      </c>
      <c r="C5" s="5">
        <f>IFERROR(IF(MAXIFS('Cook log'!A2:A1000,'Cook log'!C2:C1000,A5)=0,"",MAXIFS('Cook log'!A2:A1000,'Cook log'!C2:C1000,A5)),"")</f>
        <v/>
      </c>
      <c r="D5" s="4">
        <f>IF(C5="","",TODAY()-C5)</f>
        <v/>
      </c>
      <c r="E5" s="4">
        <f>COUNTIF('Cook log'!C2:C1000,A5)</f>
        <v/>
      </c>
      <c r="F5" s="6" t="n">
        <v>21</v>
      </c>
      <c r="G5" s="6">
        <f>IF(C5="","Never cooked",IF(D5&lt;F5,"Cooldown","Due"))</f>
        <v/>
      </c>
      <c r="H5" s="4" t="inlineStr">
        <is>
          <t>recipes/pork-rib-king.md - ingredients only, method in the video (0WXGuOQq_xU). x1.5 for 5 pax</t>
        </is>
      </c>
    </row>
    <row r="6">
      <c r="A6" s="4" t="inlineStr">
        <is>
          <t>Eggplant with minced pork</t>
        </is>
      </c>
      <c r="B6" s="4" t="inlineStr">
        <is>
          <t>Pork</t>
        </is>
      </c>
      <c r="C6" s="5">
        <f>IFERROR(IF(MAXIFS('Cook log'!A2:A1000,'Cook log'!C2:C1000,A6)=0,"",MAXIFS('Cook log'!A2:A1000,'Cook log'!C2:C1000,A6)),"")</f>
        <v/>
      </c>
      <c r="D6" s="4">
        <f>IF(C6="","",TODAY()-C6)</f>
        <v/>
      </c>
      <c r="E6" s="4">
        <f>COUNTIF('Cook log'!C2:C1000,A6)</f>
        <v/>
      </c>
      <c r="F6" s="6" t="n">
        <v>21</v>
      </c>
      <c r="G6" s="6">
        <f>IF(C6="","Never cooked",IF(D6&lt;F6,"Cooldown","Due"))</f>
        <v/>
      </c>
      <c r="H6" s="4" t="inlineStr"/>
    </row>
    <row r="7">
      <c r="A7" s="4" t="inlineStr">
        <is>
          <t>Ee-fu mee</t>
        </is>
      </c>
      <c r="B7" s="4" t="inlineStr">
        <is>
          <t>Noodle</t>
        </is>
      </c>
      <c r="C7" s="5">
        <f>IFERROR(IF(MAXIFS('Cook log'!A2:A1000,'Cook log'!C2:C1000,A7)=0,"",MAXIFS('Cook log'!A2:A1000,'Cook log'!C2:C1000,A7)),"")</f>
        <v/>
      </c>
      <c r="D7" s="4">
        <f>IF(C7="","",TODAY()-C7)</f>
        <v/>
      </c>
      <c r="E7" s="4">
        <f>COUNTIF('Cook log'!C2:C1000,A7)</f>
        <v/>
      </c>
      <c r="F7" s="6" t="n">
        <v>21</v>
      </c>
      <c r="G7" s="6">
        <f>IF(C7="","Never cooked",IF(D7&lt;F7,"Cooldown","Due"))</f>
        <v/>
      </c>
      <c r="H7" s="4" t="inlineStr"/>
    </row>
    <row r="8">
      <c r="A8" s="4" t="inlineStr">
        <is>
          <t>HK style steamed seabass</t>
        </is>
      </c>
      <c r="B8" s="4" t="inlineStr">
        <is>
          <t>Fish</t>
        </is>
      </c>
      <c r="C8" s="5">
        <f>IFERROR(IF(MAXIFS('Cook log'!A2:A1000,'Cook log'!C2:C1000,A8)=0,"",MAXIFS('Cook log'!A2:A1000,'Cook log'!C2:C1000,A8)),"")</f>
        <v/>
      </c>
      <c r="D8" s="4">
        <f>IF(C8="","",TODAY()-C8)</f>
        <v/>
      </c>
      <c r="E8" s="4">
        <f>COUNTIF('Cook log'!C2:C1000,A8)</f>
        <v/>
      </c>
      <c r="F8" s="6" t="n">
        <v>21</v>
      </c>
      <c r="G8" s="6">
        <f>IF(C8="","Never cooked",IF(D8&lt;F8,"Cooldown","Due"))</f>
        <v/>
      </c>
      <c r="H8" s="4" t="inlineStr"/>
    </row>
    <row r="9">
      <c r="A9" s="4" t="inlineStr">
        <is>
          <t>Steamed egg (ah gong style)</t>
        </is>
      </c>
      <c r="B9" s="4" t="inlineStr">
        <is>
          <t>Egg</t>
        </is>
      </c>
      <c r="C9" s="5">
        <f>IFERROR(IF(MAXIFS('Cook log'!A2:A1000,'Cook log'!C2:C1000,A9)=0,"",MAXIFS('Cook log'!A2:A1000,'Cook log'!C2:C1000,A9)),"")</f>
        <v/>
      </c>
      <c r="D9" s="4">
        <f>IF(C9="","",TODAY()-C9)</f>
        <v/>
      </c>
      <c r="E9" s="4">
        <f>COUNTIF('Cook log'!C2:C1000,A9)</f>
        <v/>
      </c>
      <c r="F9" s="6" t="n">
        <v>14</v>
      </c>
      <c r="G9" s="6">
        <f>IF(C9="","Never cooked",IF(D9&lt;F9,"Cooldown","Due"))</f>
        <v/>
      </c>
      <c r="H9" s="4" t="inlineStr"/>
    </row>
    <row r="10">
      <c r="A10" s="4" t="inlineStr">
        <is>
          <t>Radish pork rib soup with dates</t>
        </is>
      </c>
      <c r="B10" s="4" t="inlineStr">
        <is>
          <t>Soup</t>
        </is>
      </c>
      <c r="C10" s="5">
        <f>IFERROR(IF(MAXIFS('Cook log'!A2:A1000,'Cook log'!C2:C1000,A10)=0,"",MAXIFS('Cook log'!A2:A1000,'Cook log'!C2:C1000,A10)),"")</f>
        <v/>
      </c>
      <c r="D10" s="4">
        <f>IF(C10="","",TODAY()-C10)</f>
        <v/>
      </c>
      <c r="E10" s="4">
        <f>COUNTIF('Cook log'!C2:C1000,A10)</f>
        <v/>
      </c>
      <c r="F10" s="6" t="n">
        <v>21</v>
      </c>
      <c r="G10" s="6">
        <f>IF(C10="","Never cooked",IF(D10&lt;F10,"Cooldown","Due"))</f>
        <v/>
      </c>
      <c r="H10" s="4" t="inlineStr"/>
    </row>
    <row r="11">
      <c r="A11" s="4" t="inlineStr">
        <is>
          <t>Wasabi mayo prawns</t>
        </is>
      </c>
      <c r="B11" s="4" t="inlineStr">
        <is>
          <t>Prawn</t>
        </is>
      </c>
      <c r="C11" s="5">
        <f>IFERROR(IF(MAXIFS('Cook log'!A2:A1000,'Cook log'!C2:C1000,A11)=0,"",MAXIFS('Cook log'!A2:A1000,'Cook log'!C2:C1000,A11)),"")</f>
        <v/>
      </c>
      <c r="D11" s="4">
        <f>IF(C11="","",TODAY()-C11)</f>
        <v/>
      </c>
      <c r="E11" s="4">
        <f>COUNTIF('Cook log'!C2:C1000,A11)</f>
        <v/>
      </c>
      <c r="F11" s="6" t="n">
        <v>21</v>
      </c>
      <c r="G11" s="6">
        <f>IF(C11="","Never cooked",IF(D11&lt;F11,"Cooldown","Due"))</f>
        <v/>
      </c>
      <c r="H11" s="4" t="inlineStr"/>
    </row>
    <row r="12">
      <c r="A12" s="4" t="inlineStr">
        <is>
          <t>Chicken chop</t>
        </is>
      </c>
      <c r="B12" s="4" t="inlineStr">
        <is>
          <t>Chicken</t>
        </is>
      </c>
      <c r="C12" s="5">
        <f>IFERROR(IF(MAXIFS('Cook log'!A2:A1000,'Cook log'!C2:C1000,A12)=0,"",MAXIFS('Cook log'!A2:A1000,'Cook log'!C2:C1000,A12)),"")</f>
        <v/>
      </c>
      <c r="D12" s="4">
        <f>IF(C12="","",TODAY()-C12)</f>
        <v/>
      </c>
      <c r="E12" s="4">
        <f>COUNTIF('Cook log'!C2:C1000,A12)</f>
        <v/>
      </c>
      <c r="F12" s="6" t="n">
        <v>21</v>
      </c>
      <c r="G12" s="6">
        <f>IF(C12="","Never cooked",IF(D12&lt;F12,"Cooldown","Due"))</f>
        <v/>
      </c>
      <c r="H12" s="4" t="inlineStr"/>
    </row>
    <row r="13">
      <c r="A13" s="4" t="inlineStr">
        <is>
          <t>Mash potatoes</t>
        </is>
      </c>
      <c r="B13" s="4" t="inlineStr">
        <is>
          <t>Side</t>
        </is>
      </c>
      <c r="C13" s="5">
        <f>IFERROR(IF(MAXIFS('Cook log'!A2:A1000,'Cook log'!C2:C1000,A13)=0,"",MAXIFS('Cook log'!A2:A1000,'Cook log'!C2:C1000,A13)),"")</f>
        <v/>
      </c>
      <c r="D13" s="4">
        <f>IF(C13="","",TODAY()-C13)</f>
        <v/>
      </c>
      <c r="E13" s="4">
        <f>COUNTIF('Cook log'!C2:C1000,A13)</f>
        <v/>
      </c>
      <c r="F13" s="6" t="n">
        <v>21</v>
      </c>
      <c r="G13" s="6">
        <f>IF(C13="","Never cooked",IF(D13&lt;F13,"Cooldown","Due"))</f>
        <v/>
      </c>
      <c r="H13" s="4" t="inlineStr"/>
    </row>
    <row r="14">
      <c r="A14" s="4" t="inlineStr">
        <is>
          <t>Roasted vegetables (oven)</t>
        </is>
      </c>
      <c r="B14" s="4" t="inlineStr">
        <is>
          <t>Vegetable</t>
        </is>
      </c>
      <c r="C14" s="5">
        <f>IFERROR(IF(MAXIFS('Cook log'!A2:A1000,'Cook log'!C2:C1000,A14)=0,"",MAXIFS('Cook log'!A2:A1000,'Cook log'!C2:C1000,A14)),"")</f>
        <v/>
      </c>
      <c r="D14" s="4">
        <f>IF(C14="","",TODAY()-C14)</f>
        <v/>
      </c>
      <c r="E14" s="4">
        <f>COUNTIF('Cook log'!C2:C1000,A14)</f>
        <v/>
      </c>
      <c r="F14" s="6" t="n">
        <v>21</v>
      </c>
      <c r="G14" s="6">
        <f>IF(C14="","Never cooked",IF(D14&lt;F14,"Cooldown","Due"))</f>
        <v/>
      </c>
      <c r="H14" s="4" t="inlineStr">
        <is>
          <t>recipes/roasted-vegetables.md - ingredients only; x1.25 for 5 pax; potato wedges left out when roast potatoes are served</t>
        </is>
      </c>
    </row>
    <row r="15">
      <c r="A15" s="4" t="inlineStr">
        <is>
          <t>Sticky pork belly</t>
        </is>
      </c>
      <c r="B15" s="4" t="inlineStr">
        <is>
          <t>Pork</t>
        </is>
      </c>
      <c r="C15" s="5">
        <f>IFERROR(IF(MAXIFS('Cook log'!A2:A1000,'Cook log'!C2:C1000,A15)=0,"",MAXIFS('Cook log'!A2:A1000,'Cook log'!C2:C1000,A15)),"")</f>
        <v/>
      </c>
      <c r="D15" s="4">
        <f>IF(C15="","",TODAY()-C15)</f>
        <v/>
      </c>
      <c r="E15" s="4">
        <f>COUNTIF('Cook log'!C2:C1000,A15)</f>
        <v/>
      </c>
      <c r="F15" s="6" t="n">
        <v>21</v>
      </c>
      <c r="G15" s="6">
        <f>IF(C15="","Never cooked",IF(D15&lt;F15,"Cooldown","Due"))</f>
        <v/>
      </c>
      <c r="H15" s="4" t="inlineStr"/>
    </row>
    <row r="16">
      <c r="A16" s="4" t="inlineStr">
        <is>
          <t>Taiwanese braised pork rice</t>
        </is>
      </c>
      <c r="B16" s="4" t="inlineStr">
        <is>
          <t>Pork</t>
        </is>
      </c>
      <c r="C16" s="5">
        <f>IFERROR(IF(MAXIFS('Cook log'!A2:A1000,'Cook log'!C2:C1000,A16)=0,"",MAXIFS('Cook log'!A2:A1000,'Cook log'!C2:C1000,A16)),"")</f>
        <v/>
      </c>
      <c r="D16" s="4">
        <f>IF(C16="","",TODAY()-C16)</f>
        <v/>
      </c>
      <c r="E16" s="4">
        <f>COUNTIF('Cook log'!C2:C1000,A16)</f>
        <v/>
      </c>
      <c r="F16" s="6" t="n">
        <v>28</v>
      </c>
      <c r="G16" s="6">
        <f>IF(C16="","Never cooked",IF(D16&lt;F16,"Cooldown","Due"))</f>
        <v/>
      </c>
      <c r="H16" s="4" t="inlineStr">
        <is>
          <t>recipes/taiwanese-braised-pork-rice.md - ingredients only, method in the video (hqcVtqGoRG0)</t>
        </is>
      </c>
    </row>
    <row r="17">
      <c r="A17" s="4" t="inlineStr">
        <is>
          <t>Steamed fish paste with minced meat</t>
        </is>
      </c>
      <c r="B17" s="4" t="inlineStr">
        <is>
          <t>Fish</t>
        </is>
      </c>
      <c r="C17" s="5">
        <f>IFERROR(IF(MAXIFS('Cook log'!A2:A1000,'Cook log'!C2:C1000,A17)=0,"",MAXIFS('Cook log'!A2:A1000,'Cook log'!C2:C1000,A17)),"")</f>
        <v/>
      </c>
      <c r="D17" s="4">
        <f>IF(C17="","",TODAY()-C17)</f>
        <v/>
      </c>
      <c r="E17" s="4">
        <f>COUNTIF('Cook log'!C2:C1000,A17)</f>
        <v/>
      </c>
      <c r="F17" s="6" t="n">
        <v>28</v>
      </c>
      <c r="G17" s="6">
        <f>IF(C17="","Never cooked",IF(D17&lt;F17,"Cooldown","Due"))</f>
        <v/>
      </c>
      <c r="H17" s="4" t="inlineStr">
        <is>
          <t>recipes/steamed-fish-paste-with-minced-pork.md - user's own recipe, revised 17 Oct 2026: pork 1/3 and garlic paste 1/4-1/3 of the fish paste by volume; oil on top; steam 15 min. Never cooked</t>
        </is>
      </c>
    </row>
    <row r="18">
      <c r="A18" s="4" t="inlineStr">
        <is>
          <t>Steamed tofu with minced pork</t>
        </is>
      </c>
      <c r="B18" s="4" t="inlineStr">
        <is>
          <t>Egg</t>
        </is>
      </c>
      <c r="C18" s="5">
        <f>IFERROR(IF(MAXIFS('Cook log'!A2:A1000,'Cook log'!C2:C1000,A18)=0,"",MAXIFS('Cook log'!A2:A1000,'Cook log'!C2:C1000,A18)),"")</f>
        <v/>
      </c>
      <c r="D18" s="4">
        <f>IF(C18="","",TODAY()-C18)</f>
        <v/>
      </c>
      <c r="E18" s="4">
        <f>COUNTIF('Cook log'!C2:C1000,A18)</f>
        <v/>
      </c>
      <c r="F18" s="6" t="n">
        <v>21</v>
      </c>
      <c r="G18" s="6">
        <f>IF(C18="","Never cooked",IF(D18&lt;F18,"Cooldown","Due"))</f>
        <v/>
      </c>
      <c r="H18" s="4" t="inlineStr"/>
    </row>
    <row r="19">
      <c r="A19" s="4" t="inlineStr">
        <is>
          <t>Ah gong gai fan</t>
        </is>
      </c>
      <c r="B19" s="4" t="inlineStr">
        <is>
          <t>Chicken</t>
        </is>
      </c>
      <c r="C19" s="5">
        <f>IFERROR(IF(MAXIFS('Cook log'!A2:A1000,'Cook log'!C2:C1000,A19)=0,"",MAXIFS('Cook log'!A2:A1000,'Cook log'!C2:C1000,A19)),"")</f>
        <v/>
      </c>
      <c r="D19" s="4">
        <f>IF(C19="","",TODAY()-C19)</f>
        <v/>
      </c>
      <c r="E19" s="4">
        <f>COUNTIF('Cook log'!C2:C1000,A19)</f>
        <v/>
      </c>
      <c r="F19" s="6" t="n">
        <v>21</v>
      </c>
      <c r="G19" s="6">
        <f>IF(C19="","Never cooked",IF(D19&lt;F19,"Cooldown","Due"))</f>
        <v/>
      </c>
      <c r="H19" s="4" t="inlineStr"/>
    </row>
    <row r="20">
      <c r="A20" s="4" t="inlineStr">
        <is>
          <t>Sesame chicken mee sua</t>
        </is>
      </c>
      <c r="B20" s="4" t="inlineStr">
        <is>
          <t>Chicken</t>
        </is>
      </c>
      <c r="C20" s="5">
        <f>IFERROR(IF(MAXIFS('Cook log'!A2:A1000,'Cook log'!C2:C1000,A20)=0,"",MAXIFS('Cook log'!A2:A1000,'Cook log'!C2:C1000,A20)),"")</f>
        <v/>
      </c>
      <c r="D20" s="4">
        <f>IF(C20="","",TODAY()-C20)</f>
        <v/>
      </c>
      <c r="E20" s="4">
        <f>COUNTIF('Cook log'!C2:C1000,A20)</f>
        <v/>
      </c>
      <c r="F20" s="6" t="n">
        <v>21</v>
      </c>
      <c r="G20" s="6">
        <f>IF(C20="","Never cooked",IF(D20&lt;F20,"Cooldown","Due"))</f>
        <v/>
      </c>
      <c r="H20" s="4" t="inlineStr"/>
    </row>
    <row r="21">
      <c r="A21" s="4" t="inlineStr">
        <is>
          <t>Teriyaki chicken cutlet</t>
        </is>
      </c>
      <c r="B21" s="4" t="inlineStr">
        <is>
          <t>Chicken</t>
        </is>
      </c>
      <c r="C21" s="5">
        <f>IFERROR(IF(MAXIFS('Cook log'!A2:A1000,'Cook log'!C2:C1000,A21)=0,"",MAXIFS('Cook log'!A2:A1000,'Cook log'!C2:C1000,A21)),"")</f>
        <v/>
      </c>
      <c r="D21" s="4">
        <f>IF(C21="","",TODAY()-C21)</f>
        <v/>
      </c>
      <c r="E21" s="4">
        <f>COUNTIF('Cook log'!C2:C1000,A21)</f>
        <v/>
      </c>
      <c r="F21" s="6" t="n">
        <v>28</v>
      </c>
      <c r="G21" s="6">
        <f>IF(C21="","Never cooked",IF(D21&lt;F21,"Cooldown","Due"))</f>
        <v/>
      </c>
      <c r="H21" s="4" t="inlineStr"/>
    </row>
    <row r="22">
      <c r="A22" s="4" t="inlineStr">
        <is>
          <t>Macau Portuguese chicken rice</t>
        </is>
      </c>
      <c r="B22" s="4" t="inlineStr">
        <is>
          <t>Chicken</t>
        </is>
      </c>
      <c r="C22" s="5">
        <f>IFERROR(IF(MAXIFS('Cook log'!A2:A1000,'Cook log'!C2:C1000,A22)=0,"",MAXIFS('Cook log'!A2:A1000,'Cook log'!C2:C1000,A22)),"")</f>
        <v/>
      </c>
      <c r="D22" s="4">
        <f>IF(C22="","",TODAY()-C22)</f>
        <v/>
      </c>
      <c r="E22" s="4">
        <f>COUNTIF('Cook log'!C2:C1000,A22)</f>
        <v/>
      </c>
      <c r="F22" s="6" t="n">
        <v>35</v>
      </c>
      <c r="G22" s="6">
        <f>IF(C22="","Never cooked",IF(D22&lt;F22,"Cooldown","Due"))</f>
        <v/>
      </c>
      <c r="H22" s="4" t="inlineStr"/>
    </row>
    <row r="23">
      <c r="A23" s="4" t="inlineStr">
        <is>
          <t>Claypot chicken rice</t>
        </is>
      </c>
      <c r="B23" s="4" t="inlineStr">
        <is>
          <t>Chicken</t>
        </is>
      </c>
      <c r="C23" s="5">
        <f>IFERROR(IF(MAXIFS('Cook log'!A2:A1000,'Cook log'!C2:C1000,A23)=0,"",MAXIFS('Cook log'!A2:A1000,'Cook log'!C2:C1000,A23)),"")</f>
        <v/>
      </c>
      <c r="D23" s="4">
        <f>IF(C23="","",TODAY()-C23)</f>
        <v/>
      </c>
      <c r="E23" s="4">
        <f>COUNTIF('Cook log'!C2:C1000,A23)</f>
        <v/>
      </c>
      <c r="F23" s="6" t="n">
        <v>28</v>
      </c>
      <c r="G23" s="6">
        <f>IF(C23="","Never cooked",IF(D23&lt;F23,"Cooldown","Due"))</f>
        <v/>
      </c>
      <c r="H23" s="4" t="inlineStr"/>
    </row>
    <row r="24">
      <c r="A24" s="4" t="inlineStr">
        <is>
          <t>Baked chicken wings</t>
        </is>
      </c>
      <c r="B24" s="4" t="inlineStr">
        <is>
          <t>Chicken</t>
        </is>
      </c>
      <c r="C24" s="5">
        <f>IFERROR(IF(MAXIFS('Cook log'!A2:A1000,'Cook log'!C2:C1000,A24)=0,"",MAXIFS('Cook log'!A2:A1000,'Cook log'!C2:C1000,A24)),"")</f>
        <v/>
      </c>
      <c r="D24" s="4">
        <f>IF(C24="","",TODAY()-C24)</f>
        <v/>
      </c>
      <c r="E24" s="4">
        <f>COUNTIF('Cook log'!C2:C1000,A24)</f>
        <v/>
      </c>
      <c r="F24" s="6" t="n">
        <v>21</v>
      </c>
      <c r="G24" s="6">
        <f>IF(C24="","Never cooked",IF(D24&lt;F24,"Cooldown","Due"))</f>
        <v/>
      </c>
      <c r="H24" s="4" t="inlineStr">
        <is>
          <t>recipes/soy-and-oyster-sauce-wings.md - oven method; individually frozen mid wings, x0.6 marinade. Never cooked</t>
        </is>
      </c>
    </row>
    <row r="25">
      <c r="A25" s="4" t="inlineStr">
        <is>
          <t>Steamed baby threadfin</t>
        </is>
      </c>
      <c r="B25" s="4" t="inlineStr">
        <is>
          <t>Fish</t>
        </is>
      </c>
      <c r="C25" s="5">
        <f>IFERROR(IF(MAXIFS('Cook log'!A2:A1000,'Cook log'!C2:C1000,A25)=0,"",MAXIFS('Cook log'!A2:A1000,'Cook log'!C2:C1000,A25)),"")</f>
        <v/>
      </c>
      <c r="D25" s="4">
        <f>IF(C25="","",TODAY()-C25)</f>
        <v/>
      </c>
      <c r="E25" s="4">
        <f>COUNTIF('Cook log'!C2:C1000,A25)</f>
        <v/>
      </c>
      <c r="F25" s="6" t="n">
        <v>21</v>
      </c>
      <c r="G25" s="6">
        <f>IF(C25="","Never cooked",IF(D25&lt;F25,"Cooldown","Due"))</f>
        <v/>
      </c>
      <c r="H25" s="4" t="inlineStr"/>
    </row>
    <row r="26">
      <c r="A26" s="4" t="inlineStr">
        <is>
          <t>Salmon kabayaki</t>
        </is>
      </c>
      <c r="B26" s="4" t="inlineStr">
        <is>
          <t>Fish</t>
        </is>
      </c>
      <c r="C26" s="5">
        <f>IFERROR(IF(MAXIFS('Cook log'!A2:A1000,'Cook log'!C2:C1000,A26)=0,"",MAXIFS('Cook log'!A2:A1000,'Cook log'!C2:C1000,A26)),"")</f>
        <v/>
      </c>
      <c r="D26" s="4">
        <f>IF(C26="","",TODAY()-C26)</f>
        <v/>
      </c>
      <c r="E26" s="4">
        <f>COUNTIF('Cook log'!C2:C1000,A26)</f>
        <v/>
      </c>
      <c r="F26" s="6" t="n">
        <v>28</v>
      </c>
      <c r="G26" s="6">
        <f>IF(C26="","Never cooked",IF(D26&lt;F26,"Cooldown","Due"))</f>
        <v/>
      </c>
      <c r="H26" s="4" t="inlineStr"/>
    </row>
    <row r="27">
      <c r="A27" s="4" t="inlineStr">
        <is>
          <t>Lemon butter salmon</t>
        </is>
      </c>
      <c r="B27" s="4" t="inlineStr">
        <is>
          <t>Fish</t>
        </is>
      </c>
      <c r="C27" s="5">
        <f>IFERROR(IF(MAXIFS('Cook log'!A2:A1000,'Cook log'!C2:C1000,A27)=0,"",MAXIFS('Cook log'!A2:A1000,'Cook log'!C2:C1000,A27)),"")</f>
        <v/>
      </c>
      <c r="D27" s="4">
        <f>IF(C27="","",TODAY()-C27)</f>
        <v/>
      </c>
      <c r="E27" s="4">
        <f>COUNTIF('Cook log'!C2:C1000,A27)</f>
        <v/>
      </c>
      <c r="F27" s="6" t="n">
        <v>28</v>
      </c>
      <c r="G27" s="6">
        <f>IF(C27="","Never cooked",IF(D27&lt;F27,"Cooldown","Due"))</f>
        <v/>
      </c>
      <c r="H27" s="4" t="inlineStr"/>
    </row>
    <row r="28">
      <c r="A28" s="4" t="inlineStr">
        <is>
          <t>Assam fish</t>
        </is>
      </c>
      <c r="B28" s="4" t="inlineStr">
        <is>
          <t>Fish</t>
        </is>
      </c>
      <c r="C28" s="5">
        <f>IFERROR(IF(MAXIFS('Cook log'!A2:A1000,'Cook log'!C2:C1000,A28)=0,"",MAXIFS('Cook log'!A2:A1000,'Cook log'!C2:C1000,A28)),"")</f>
        <v/>
      </c>
      <c r="D28" s="4">
        <f>IF(C28="","",TODAY()-C28)</f>
        <v/>
      </c>
      <c r="E28" s="4">
        <f>COUNTIF('Cook log'!C2:C1000,A28)</f>
        <v/>
      </c>
      <c r="F28" s="6" t="n">
        <v>28</v>
      </c>
      <c r="G28" s="6">
        <f>IF(C28="","Never cooked",IF(D28&lt;F28,"Cooldown","Due"))</f>
        <v/>
      </c>
      <c r="H28" s="4" t="inlineStr"/>
    </row>
    <row r="29">
      <c r="A29" s="4" t="inlineStr">
        <is>
          <t>Thai style steamed seabass</t>
        </is>
      </c>
      <c r="B29" s="4" t="inlineStr">
        <is>
          <t>Fish</t>
        </is>
      </c>
      <c r="C29" s="5">
        <f>IFERROR(IF(MAXIFS('Cook log'!A2:A1000,'Cook log'!C2:C1000,A29)=0,"",MAXIFS('Cook log'!A2:A1000,'Cook log'!C2:C1000,A29)),"")</f>
        <v/>
      </c>
      <c r="D29" s="4">
        <f>IF(C29="","",TODAY()-C29)</f>
        <v/>
      </c>
      <c r="E29" s="4">
        <f>COUNTIF('Cook log'!C2:C1000,A29)</f>
        <v/>
      </c>
      <c r="F29" s="6" t="n">
        <v>28</v>
      </c>
      <c r="G29" s="6">
        <f>IF(C29="","Never cooked",IF(D29&lt;F29,"Cooldown","Due"))</f>
        <v/>
      </c>
      <c r="H29" s="4" t="inlineStr">
        <is>
          <t>recipes/thai-style-steamed-fish.md - ingredients only, method in the video (-2hNdMmJogU); one 700g fish, chillies cut to 4-5</t>
        </is>
      </c>
    </row>
    <row r="30">
      <c r="A30" s="4" t="inlineStr">
        <is>
          <t>Fish soup</t>
        </is>
      </c>
      <c r="B30" s="4" t="inlineStr">
        <is>
          <t>Fish</t>
        </is>
      </c>
      <c r="C30" s="5">
        <f>IFERROR(IF(MAXIFS('Cook log'!A2:A1000,'Cook log'!C2:C1000,A30)=0,"",MAXIFS('Cook log'!A2:A1000,'Cook log'!C2:C1000,A30)),"")</f>
        <v/>
      </c>
      <c r="D30" s="4">
        <f>IF(C30="","",TODAY()-C30)</f>
        <v/>
      </c>
      <c r="E30" s="4">
        <f>COUNTIF('Cook log'!C2:C1000,A30)</f>
        <v/>
      </c>
      <c r="F30" s="6" t="n">
        <v>21</v>
      </c>
      <c r="G30" s="6">
        <f>IF(C30="","Never cooked",IF(D30&lt;F30,"Cooldown","Due"))</f>
        <v/>
      </c>
      <c r="H30" s="4" t="inlineStr"/>
    </row>
    <row r="31">
      <c r="A31" s="4" t="inlineStr">
        <is>
          <t>Prawn omelette</t>
        </is>
      </c>
      <c r="B31" s="4" t="inlineStr">
        <is>
          <t>Prawn</t>
        </is>
      </c>
      <c r="C31" s="5">
        <f>IFERROR(IF(MAXIFS('Cook log'!A2:A1000,'Cook log'!C2:C1000,A31)=0,"",MAXIFS('Cook log'!A2:A1000,'Cook log'!C2:C1000,A31)),"")</f>
        <v/>
      </c>
      <c r="D31" s="4">
        <f>IF(C31="","",TODAY()-C31)</f>
        <v/>
      </c>
      <c r="E31" s="4">
        <f>COUNTIF('Cook log'!C2:C1000,A31)</f>
        <v/>
      </c>
      <c r="F31" s="6" t="n">
        <v>21</v>
      </c>
      <c r="G31" s="6">
        <f>IF(C31="","Never cooked",IF(D31&lt;F31,"Cooldown","Due"))</f>
        <v/>
      </c>
      <c r="H31" s="4" t="inlineStr"/>
    </row>
    <row r="32">
      <c r="A32" s="4" t="inlineStr">
        <is>
          <t>Pineapple fried rice</t>
        </is>
      </c>
      <c r="B32" s="4" t="inlineStr">
        <is>
          <t>Rice</t>
        </is>
      </c>
      <c r="C32" s="5">
        <f>IFERROR(IF(MAXIFS('Cook log'!A2:A1000,'Cook log'!C2:C1000,A32)=0,"",MAXIFS('Cook log'!A2:A1000,'Cook log'!C2:C1000,A32)),"")</f>
        <v/>
      </c>
      <c r="D32" s="4">
        <f>IF(C32="","",TODAY()-C32)</f>
        <v/>
      </c>
      <c r="E32" s="4">
        <f>COUNTIF('Cook log'!C2:C1000,A32)</f>
        <v/>
      </c>
      <c r="F32" s="6" t="n">
        <v>28</v>
      </c>
      <c r="G32" s="6">
        <f>IF(C32="","Never cooked",IF(D32&lt;F32,"Cooldown","Due"))</f>
        <v/>
      </c>
      <c r="H32" s="4" t="inlineStr"/>
    </row>
    <row r="33">
      <c r="A33" s="4" t="inlineStr">
        <is>
          <t>Egg fried rice</t>
        </is>
      </c>
      <c r="B33" s="4" t="inlineStr">
        <is>
          <t>Rice</t>
        </is>
      </c>
      <c r="C33" s="5">
        <f>IFERROR(IF(MAXIFS('Cook log'!A2:A1000,'Cook log'!C2:C1000,A33)=0,"",MAXIFS('Cook log'!A2:A1000,'Cook log'!C2:C1000,A33)),"")</f>
        <v/>
      </c>
      <c r="D33" s="4">
        <f>IF(C33="","",TODAY()-C33)</f>
        <v/>
      </c>
      <c r="E33" s="4">
        <f>COUNTIF('Cook log'!C2:C1000,A33)</f>
        <v/>
      </c>
      <c r="F33" s="6" t="n">
        <v>14</v>
      </c>
      <c r="G33" s="6">
        <f>IF(C33="","Never cooked",IF(D33&lt;F33,"Cooldown","Due"))</f>
        <v/>
      </c>
      <c r="H33" s="4" t="inlineStr"/>
    </row>
    <row r="34">
      <c r="A34" s="4" t="inlineStr">
        <is>
          <t>Yam rice</t>
        </is>
      </c>
      <c r="B34" s="4" t="inlineStr">
        <is>
          <t>Rice</t>
        </is>
      </c>
      <c r="C34" s="5">
        <f>IFERROR(IF(MAXIFS('Cook log'!A2:A1000,'Cook log'!C2:C1000,A34)=0,"",MAXIFS('Cook log'!A2:A1000,'Cook log'!C2:C1000,A34)),"")</f>
        <v/>
      </c>
      <c r="D34" s="4">
        <f>IF(C34="","",TODAY()-C34)</f>
        <v/>
      </c>
      <c r="E34" s="4">
        <f>COUNTIF('Cook log'!C2:C1000,A34)</f>
        <v/>
      </c>
      <c r="F34" s="6" t="n">
        <v>28</v>
      </c>
      <c r="G34" s="6">
        <f>IF(C34="","Never cooked",IF(D34&lt;F34,"Cooldown","Due"))</f>
        <v/>
      </c>
      <c r="H34" s="4" t="inlineStr">
        <is>
          <t>recipes/yam-rice.md - pork belly version (user, 17 Oct 2026), x1.6. Never cooked</t>
        </is>
      </c>
    </row>
    <row r="35">
      <c r="A35" s="4" t="inlineStr">
        <is>
          <t>Hokkien kiam png</t>
        </is>
      </c>
      <c r="B35" s="4" t="inlineStr">
        <is>
          <t>Rice</t>
        </is>
      </c>
      <c r="C35" s="5">
        <f>IFERROR(IF(MAXIFS('Cook log'!A2:A1000,'Cook log'!C2:C1000,A35)=0,"",MAXIFS('Cook log'!A2:A1000,'Cook log'!C2:C1000,A35)),"")</f>
        <v/>
      </c>
      <c r="D35" s="4">
        <f>IF(C35="","",TODAY()-C35)</f>
        <v/>
      </c>
      <c r="E35" s="4">
        <f>COUNTIF('Cook log'!C2:C1000,A35)</f>
        <v/>
      </c>
      <c r="F35" s="6" t="n">
        <v>28</v>
      </c>
      <c r="G35" s="6">
        <f>IF(C35="","Never cooked",IF(D35&lt;F35,"Cooldown","Due"))</f>
        <v/>
      </c>
      <c r="H35" s="4" t="inlineStr"/>
    </row>
    <row r="36">
      <c r="A36" s="4" t="inlineStr">
        <is>
          <t>Stir fried bee hoon</t>
        </is>
      </c>
      <c r="B36" s="4" t="inlineStr">
        <is>
          <t>Noodle</t>
        </is>
      </c>
      <c r="C36" s="5">
        <f>IFERROR(IF(MAXIFS('Cook log'!A2:A1000,'Cook log'!C2:C1000,A36)=0,"",MAXIFS('Cook log'!A2:A1000,'Cook log'!C2:C1000,A36)),"")</f>
        <v/>
      </c>
      <c r="D36" s="4">
        <f>IF(C36="","",TODAY()-C36)</f>
        <v/>
      </c>
      <c r="E36" s="4">
        <f>COUNTIF('Cook log'!C2:C1000,A36)</f>
        <v/>
      </c>
      <c r="F36" s="6" t="n">
        <v>14</v>
      </c>
      <c r="G36" s="6">
        <f>IF(C36="","Never cooked",IF(D36&lt;F36,"Cooldown","Due"))</f>
        <v/>
      </c>
      <c r="H36" s="4" t="inlineStr"/>
    </row>
    <row r="37">
      <c r="A37" s="4" t="inlineStr">
        <is>
          <t>Fried udon</t>
        </is>
      </c>
      <c r="B37" s="4" t="inlineStr">
        <is>
          <t>Noodle</t>
        </is>
      </c>
      <c r="C37" s="5">
        <f>IFERROR(IF(MAXIFS('Cook log'!A2:A1000,'Cook log'!C2:C1000,A37)=0,"",MAXIFS('Cook log'!A2:A1000,'Cook log'!C2:C1000,A37)),"")</f>
        <v/>
      </c>
      <c r="D37" s="4">
        <f>IF(C37="","",TODAY()-C37)</f>
        <v/>
      </c>
      <c r="E37" s="4">
        <f>COUNTIF('Cook log'!C2:C1000,A37)</f>
        <v/>
      </c>
      <c r="F37" s="6" t="n">
        <v>21</v>
      </c>
      <c r="G37" s="6">
        <f>IF(C37="","Never cooked",IF(D37&lt;F37,"Cooldown","Due"))</f>
        <v/>
      </c>
      <c r="H37" s="4" t="inlineStr"/>
    </row>
    <row r="38">
      <c r="A38" s="4" t="inlineStr">
        <is>
          <t>Hong Kong style fried noodles</t>
        </is>
      </c>
      <c r="B38" s="4" t="inlineStr">
        <is>
          <t>Noodle</t>
        </is>
      </c>
      <c r="C38" s="5">
        <f>IFERROR(IF(MAXIFS('Cook log'!A2:A1000,'Cook log'!C2:C1000,A38)=0,"",MAXIFS('Cook log'!A2:A1000,'Cook log'!C2:C1000,A38)),"")</f>
        <v/>
      </c>
      <c r="D38" s="4">
        <f>IF(C38="","",TODAY()-C38)</f>
        <v/>
      </c>
      <c r="E38" s="4">
        <f>COUNTIF('Cook log'!C2:C1000,A38)</f>
        <v/>
      </c>
      <c r="F38" s="6" t="n">
        <v>21</v>
      </c>
      <c r="G38" s="6">
        <f>IF(C38="","Never cooked",IF(D38&lt;F38,"Cooldown","Due"))</f>
        <v/>
      </c>
      <c r="H38" s="4" t="inlineStr"/>
    </row>
    <row r="39">
      <c r="A39" s="4" t="inlineStr">
        <is>
          <t>Pork noodle soup</t>
        </is>
      </c>
      <c r="B39" s="4" t="inlineStr">
        <is>
          <t>Noodle</t>
        </is>
      </c>
      <c r="C39" s="5">
        <f>IFERROR(IF(MAXIFS('Cook log'!A2:A1000,'Cook log'!C2:C1000,A39)=0,"",MAXIFS('Cook log'!A2:A1000,'Cook log'!C2:C1000,A39)),"")</f>
        <v/>
      </c>
      <c r="D39" s="4">
        <f>IF(C39="","",TODAY()-C39)</f>
        <v/>
      </c>
      <c r="E39" s="4">
        <f>COUNTIF('Cook log'!C2:C1000,A39)</f>
        <v/>
      </c>
      <c r="F39" s="6" t="n">
        <v>21</v>
      </c>
      <c r="G39" s="6">
        <f>IF(C39="","Never cooked",IF(D39&lt;F39,"Cooldown","Due"))</f>
        <v/>
      </c>
      <c r="H39" s="4" t="inlineStr"/>
    </row>
    <row r="40">
      <c r="A40" s="4" t="inlineStr">
        <is>
          <t>Ah gong fried prawn noodle</t>
        </is>
      </c>
      <c r="B40" s="4" t="inlineStr">
        <is>
          <t>Noodle</t>
        </is>
      </c>
      <c r="C40" s="5">
        <f>IFERROR(IF(MAXIFS('Cook log'!A2:A1000,'Cook log'!C2:C1000,A40)=0,"",MAXIFS('Cook log'!A2:A1000,'Cook log'!C2:C1000,A40)),"")</f>
        <v/>
      </c>
      <c r="D40" s="4">
        <f>IF(C40="","",TODAY()-C40)</f>
        <v/>
      </c>
      <c r="E40" s="4">
        <f>COUNTIF('Cook log'!C2:C1000,A40)</f>
        <v/>
      </c>
      <c r="F40" s="6" t="n">
        <v>28</v>
      </c>
      <c r="G40" s="6">
        <f>IF(C40="","Never cooked",IF(D40&lt;F40,"Cooldown","Due"))</f>
        <v/>
      </c>
      <c r="H40" s="4" t="inlineStr"/>
    </row>
    <row r="41">
      <c r="A41" s="4" t="inlineStr">
        <is>
          <t>ABC soup</t>
        </is>
      </c>
      <c r="B41" s="4" t="inlineStr">
        <is>
          <t>Soup</t>
        </is>
      </c>
      <c r="C41" s="5">
        <f>IFERROR(IF(MAXIFS('Cook log'!A2:A1000,'Cook log'!C2:C1000,A41)=0,"",MAXIFS('Cook log'!A2:A1000,'Cook log'!C2:C1000,A41)),"")</f>
        <v/>
      </c>
      <c r="D41" s="4">
        <f>IF(C41="","",TODAY()-C41)</f>
        <v/>
      </c>
      <c r="E41" s="4">
        <f>COUNTIF('Cook log'!C2:C1000,A41)</f>
        <v/>
      </c>
      <c r="F41" s="6" t="n">
        <v>14</v>
      </c>
      <c r="G41" s="6">
        <f>IF(C41="","Never cooked",IF(D41&lt;F41,"Cooldown","Due"))</f>
        <v/>
      </c>
      <c r="H41" s="4" t="inlineStr"/>
    </row>
    <row r="42">
      <c r="A42" s="4" t="inlineStr">
        <is>
          <t>Watercress pork rib soup</t>
        </is>
      </c>
      <c r="B42" s="4" t="inlineStr">
        <is>
          <t>Soup</t>
        </is>
      </c>
      <c r="C42" s="5">
        <f>IFERROR(IF(MAXIFS('Cook log'!A2:A1000,'Cook log'!C2:C1000,A42)=0,"",MAXIFS('Cook log'!A2:A1000,'Cook log'!C2:C1000,A42)),"")</f>
        <v/>
      </c>
      <c r="D42" s="4">
        <f>IF(C42="","",TODAY()-C42)</f>
        <v/>
      </c>
      <c r="E42" s="4">
        <f>COUNTIF('Cook log'!C2:C1000,A42)</f>
        <v/>
      </c>
      <c r="F42" s="6" t="n">
        <v>21</v>
      </c>
      <c r="G42" s="6">
        <f>IF(C42="","Never cooked",IF(D42&lt;F42,"Cooldown","Due"))</f>
        <v/>
      </c>
      <c r="H42" s="4" t="inlineStr"/>
    </row>
    <row r="43">
      <c r="A43" s="4" t="inlineStr">
        <is>
          <t>Old cucumber pork rib soup</t>
        </is>
      </c>
      <c r="B43" s="4" t="inlineStr">
        <is>
          <t>Soup</t>
        </is>
      </c>
      <c r="C43" s="5">
        <f>IFERROR(IF(MAXIFS('Cook log'!A2:A1000,'Cook log'!C2:C1000,A43)=0,"",MAXIFS('Cook log'!A2:A1000,'Cook log'!C2:C1000,A43)),"")</f>
        <v/>
      </c>
      <c r="D43" s="4">
        <f>IF(C43="","",TODAY()-C43)</f>
        <v/>
      </c>
      <c r="E43" s="4">
        <f>COUNTIF('Cook log'!C2:C1000,A43)</f>
        <v/>
      </c>
      <c r="F43" s="6" t="n">
        <v>21</v>
      </c>
      <c r="G43" s="6">
        <f>IF(C43="","Never cooked",IF(D43&lt;F43,"Cooldown","Due"))</f>
        <v/>
      </c>
      <c r="H43" s="4" t="inlineStr"/>
    </row>
    <row r="44">
      <c r="A44" s="4" t="inlineStr">
        <is>
          <t>Winter melon pork rib soup</t>
        </is>
      </c>
      <c r="B44" s="4" t="inlineStr">
        <is>
          <t>Soup</t>
        </is>
      </c>
      <c r="C44" s="5">
        <f>IFERROR(IF(MAXIFS('Cook log'!A2:A1000,'Cook log'!C2:C1000,A44)=0,"",MAXIFS('Cook log'!A2:A1000,'Cook log'!C2:C1000,A44)),"")</f>
        <v/>
      </c>
      <c r="D44" s="4">
        <f>IF(C44="","",TODAY()-C44)</f>
        <v/>
      </c>
      <c r="E44" s="4">
        <f>COUNTIF('Cook log'!C2:C1000,A44)</f>
        <v/>
      </c>
      <c r="F44" s="6" t="n">
        <v>28</v>
      </c>
      <c r="G44" s="6">
        <f>IF(C44="","Never cooked",IF(D44&lt;F44,"Cooldown","Due"))</f>
        <v/>
      </c>
      <c r="H44" s="4" t="inlineStr"/>
    </row>
    <row r="45">
      <c r="A45" s="4" t="inlineStr">
        <is>
          <t>Pork rib spinach soup</t>
        </is>
      </c>
      <c r="B45" s="4" t="inlineStr">
        <is>
          <t>Soup</t>
        </is>
      </c>
      <c r="C45" s="5">
        <f>IFERROR(IF(MAXIFS('Cook log'!A2:A1000,'Cook log'!C2:C1000,A45)=0,"",MAXIFS('Cook log'!A2:A1000,'Cook log'!C2:C1000,A45)),"")</f>
        <v/>
      </c>
      <c r="D45" s="4">
        <f>IF(C45="","",TODAY()-C45)</f>
        <v/>
      </c>
      <c r="E45" s="4">
        <f>COUNTIF('Cook log'!C2:C1000,A45)</f>
        <v/>
      </c>
      <c r="F45" s="6" t="n">
        <v>21</v>
      </c>
      <c r="G45" s="6">
        <f>IF(C45="","Never cooked",IF(D45&lt;F45,"Cooldown","Due"))</f>
        <v/>
      </c>
      <c r="H45" s="4" t="inlineStr"/>
    </row>
    <row r="46">
      <c r="A46" s="4" t="inlineStr">
        <is>
          <t>Mushroom soup</t>
        </is>
      </c>
      <c r="B46" s="4" t="inlineStr">
        <is>
          <t>Soup</t>
        </is>
      </c>
      <c r="C46" s="5">
        <f>IFERROR(IF(MAXIFS('Cook log'!A2:A1000,'Cook log'!C2:C1000,A46)=0,"",MAXIFS('Cook log'!A2:A1000,'Cook log'!C2:C1000,A46)),"")</f>
        <v/>
      </c>
      <c r="D46" s="4">
        <f>IF(C46="","",TODAY()-C46)</f>
        <v/>
      </c>
      <c r="E46" s="4">
        <f>COUNTIF('Cook log'!C2:C1000,A46)</f>
        <v/>
      </c>
      <c r="F46" s="6" t="n">
        <v>28</v>
      </c>
      <c r="G46" s="6">
        <f>IF(C46="","Never cooked",IF(D46&lt;F46,"Cooldown","Due"))</f>
        <v/>
      </c>
      <c r="H46" s="4" t="inlineStr"/>
    </row>
    <row r="47">
      <c r="A47" s="4" t="inlineStr">
        <is>
          <t>Fishball soup with cabbage</t>
        </is>
      </c>
      <c r="B47" s="4" t="inlineStr">
        <is>
          <t>Soup</t>
        </is>
      </c>
      <c r="C47" s="5">
        <f>IFERROR(IF(MAXIFS('Cook log'!A2:A1000,'Cook log'!C2:C1000,A47)=0,"",MAXIFS('Cook log'!A2:A1000,'Cook log'!C2:C1000,A47)),"")</f>
        <v/>
      </c>
      <c r="D47" s="4">
        <f>IF(C47="","",TODAY()-C47)</f>
        <v/>
      </c>
      <c r="E47" s="4">
        <f>COUNTIF('Cook log'!C2:C1000,A47)</f>
        <v/>
      </c>
      <c r="F47" s="6" t="n">
        <v>21</v>
      </c>
      <c r="G47" s="6">
        <f>IF(C47="","Never cooked",IF(D47&lt;F47,"Cooldown","Due"))</f>
        <v/>
      </c>
      <c r="H47" s="4" t="inlineStr"/>
    </row>
    <row r="48">
      <c r="A48" s="4" t="inlineStr">
        <is>
          <t>Tomato egg</t>
        </is>
      </c>
      <c r="B48" s="4" t="inlineStr">
        <is>
          <t>Egg</t>
        </is>
      </c>
      <c r="C48" s="5">
        <f>IFERROR(IF(MAXIFS('Cook log'!A2:A1000,'Cook log'!C2:C1000,A48)=0,"",MAXIFS('Cook log'!A2:A1000,'Cook log'!C2:C1000,A48)),"")</f>
        <v/>
      </c>
      <c r="D48" s="4">
        <f>IF(C48="","",TODAY()-C48)</f>
        <v/>
      </c>
      <c r="E48" s="4">
        <f>COUNTIF('Cook log'!C2:C1000,A48)</f>
        <v/>
      </c>
      <c r="F48" s="6" t="n">
        <v>14</v>
      </c>
      <c r="G48" s="6">
        <f>IF(C48="","Never cooked",IF(D48&lt;F48,"Cooldown","Due"))</f>
        <v/>
      </c>
      <c r="H48" s="4" t="inlineStr"/>
    </row>
    <row r="49">
      <c r="A49" s="4" t="inlineStr">
        <is>
          <t>Egg with preserved radish</t>
        </is>
      </c>
      <c r="B49" s="4" t="inlineStr">
        <is>
          <t>Egg</t>
        </is>
      </c>
      <c r="C49" s="5">
        <f>IFERROR(IF(MAXIFS('Cook log'!A2:A1000,'Cook log'!C2:C1000,A49)=0,"",MAXIFS('Cook log'!A2:A1000,'Cook log'!C2:C1000,A49)),"")</f>
        <v/>
      </c>
      <c r="D49" s="4">
        <f>IF(C49="","",TODAY()-C49)</f>
        <v/>
      </c>
      <c r="E49" s="4">
        <f>COUNTIF('Cook log'!C2:C1000,A49)</f>
        <v/>
      </c>
      <c r="F49" s="6" t="n">
        <v>21</v>
      </c>
      <c r="G49" s="6">
        <f>IF(C49="","Never cooked",IF(D49&lt;F49,"Cooldown","Due"))</f>
        <v/>
      </c>
      <c r="H49" s="4" t="inlineStr"/>
    </row>
    <row r="50">
      <c r="A50" s="4" t="inlineStr">
        <is>
          <t>Three egg spinach broth</t>
        </is>
      </c>
      <c r="B50" s="4" t="inlineStr">
        <is>
          <t>Egg</t>
        </is>
      </c>
      <c r="C50" s="5">
        <f>IFERROR(IF(MAXIFS('Cook log'!A2:A1000,'Cook log'!C2:C1000,A50)=0,"",MAXIFS('Cook log'!A2:A1000,'Cook log'!C2:C1000,A50)),"")</f>
        <v/>
      </c>
      <c r="D50" s="4">
        <f>IF(C50="","",TODAY()-C50)</f>
        <v/>
      </c>
      <c r="E50" s="4">
        <f>COUNTIF('Cook log'!C2:C1000,A50)</f>
        <v/>
      </c>
      <c r="F50" s="6" t="n">
        <v>28</v>
      </c>
      <c r="G50" s="6">
        <f>IF(C50="","Never cooked",IF(D50&lt;F50,"Cooldown","Due"))</f>
        <v/>
      </c>
      <c r="H50" s="4" t="inlineStr"/>
    </row>
    <row r="51">
      <c r="A51" s="4" t="inlineStr">
        <is>
          <t>Steamed tofu with soy garlic sauce</t>
        </is>
      </c>
      <c r="B51" s="4" t="inlineStr">
        <is>
          <t>Egg</t>
        </is>
      </c>
      <c r="C51" s="5">
        <f>IFERROR(IF(MAXIFS('Cook log'!A2:A1000,'Cook log'!C2:C1000,A51)=0,"",MAXIFS('Cook log'!A2:A1000,'Cook log'!C2:C1000,A51)),"")</f>
        <v/>
      </c>
      <c r="D51" s="4">
        <f>IF(C51="","",TODAY()-C51)</f>
        <v/>
      </c>
      <c r="E51" s="4">
        <f>COUNTIF('Cook log'!C2:C1000,A51)</f>
        <v/>
      </c>
      <c r="F51" s="6" t="n">
        <v>21</v>
      </c>
      <c r="G51" s="6">
        <f>IF(C51="","Never cooked",IF(D51&lt;F51,"Cooldown","Due"))</f>
        <v/>
      </c>
      <c r="H51" s="4" t="inlineStr"/>
    </row>
    <row r="52">
      <c r="A52" s="4" t="inlineStr">
        <is>
          <t>Stir fried Sichuan string beans</t>
        </is>
      </c>
      <c r="B52" s="4" t="inlineStr">
        <is>
          <t>Vegetable</t>
        </is>
      </c>
      <c r="C52" s="5">
        <f>IFERROR(IF(MAXIFS('Cook log'!A2:A1000,'Cook log'!C2:C1000,A52)=0,"",MAXIFS('Cook log'!A2:A1000,'Cook log'!C2:C1000,A52)),"")</f>
        <v/>
      </c>
      <c r="D52" s="4">
        <f>IF(C52="","",TODAY()-C52)</f>
        <v/>
      </c>
      <c r="E52" s="4">
        <f>COUNTIF('Cook log'!C2:C1000,A52)</f>
        <v/>
      </c>
      <c r="F52" s="6" t="n">
        <v>21</v>
      </c>
      <c r="G52" s="6">
        <f>IF(C52="","Never cooked",IF(D52&lt;F52,"Cooldown","Due"))</f>
        <v/>
      </c>
      <c r="H52" s="4" t="inlineStr"/>
    </row>
    <row r="53">
      <c r="A53" s="4" t="inlineStr">
        <is>
          <t>Stir fried baby spinach</t>
        </is>
      </c>
      <c r="B53" s="4" t="inlineStr">
        <is>
          <t>Vegetable</t>
        </is>
      </c>
      <c r="C53" s="5">
        <f>IFERROR(IF(MAXIFS('Cook log'!A2:A1000,'Cook log'!C2:C1000,A53)=0,"",MAXIFS('Cook log'!A2:A1000,'Cook log'!C2:C1000,A53)),"")</f>
        <v/>
      </c>
      <c r="D53" s="4">
        <f>IF(C53="","",TODAY()-C53)</f>
        <v/>
      </c>
      <c r="E53" s="4">
        <f>COUNTIF('Cook log'!C2:C1000,A53)</f>
        <v/>
      </c>
      <c r="F53" s="6" t="n">
        <v>14</v>
      </c>
      <c r="G53" s="6">
        <f>IF(C53="","Never cooked",IF(D53&lt;F53,"Cooldown","Due"))</f>
        <v/>
      </c>
      <c r="H53" s="4" t="inlineStr"/>
    </row>
    <row r="54">
      <c r="A54" s="4" t="inlineStr">
        <is>
          <t>Broccoli stir fry with mushroom</t>
        </is>
      </c>
      <c r="B54" s="4" t="inlineStr">
        <is>
          <t>Vegetable</t>
        </is>
      </c>
      <c r="C54" s="5">
        <f>IFERROR(IF(MAXIFS('Cook log'!A2:A1000,'Cook log'!C2:C1000,A54)=0,"",MAXIFS('Cook log'!A2:A1000,'Cook log'!C2:C1000,A54)),"")</f>
        <v/>
      </c>
      <c r="D54" s="4">
        <f>IF(C54="","",TODAY()-C54)</f>
        <v/>
      </c>
      <c r="E54" s="4">
        <f>COUNTIF('Cook log'!C2:C1000,A54)</f>
        <v/>
      </c>
      <c r="F54" s="6" t="n">
        <v>14</v>
      </c>
      <c r="G54" s="6">
        <f>IF(C54="","Never cooked",IF(D54&lt;F54,"Cooldown","Due"))</f>
        <v/>
      </c>
      <c r="H54" s="4" t="inlineStr"/>
    </row>
    <row r="55">
      <c r="A55" s="4" t="n"/>
      <c r="B55" s="4" t="n"/>
      <c r="C55" s="5" t="n"/>
      <c r="D55" s="4" t="n"/>
      <c r="E55" s="4" t="n"/>
      <c r="F55" s="6" t="n"/>
      <c r="G55" s="6" t="n"/>
      <c r="H55" s="4" t="n"/>
    </row>
    <row r="56">
      <c r="A56" s="4" t="inlineStr">
        <is>
          <t>Moroccan vegetable stew</t>
        </is>
      </c>
      <c r="B56" s="4" t="inlineStr">
        <is>
          <t>Vegetable</t>
        </is>
      </c>
      <c r="C56" s="5">
        <f>IFERROR(IF(MAXIFS('Cook log'!A2:A1000,'Cook log'!C2:C1000,A56)=0,"",MAXIFS('Cook log'!A2:A1000,'Cook log'!C2:C1000,A56)),"")</f>
        <v/>
      </c>
      <c r="D56" s="4">
        <f>IF(C56="","",TODAY()-C56)</f>
        <v/>
      </c>
      <c r="E56" s="4">
        <f>COUNTIF('Cook log'!C2:C1000,A56)</f>
        <v/>
      </c>
      <c r="F56" s="6" t="n">
        <v>28</v>
      </c>
      <c r="G56" s="6">
        <f>IF(C56="","Never cooked",IF(D56&lt;F56,"Cooldown","Due"))</f>
        <v/>
      </c>
      <c r="H56" s="4" t="inlineStr"/>
    </row>
    <row r="57">
      <c r="A57" s="4" t="inlineStr">
        <is>
          <t>Hey zho (prawn rolls)</t>
        </is>
      </c>
      <c r="B57" s="4" t="inlineStr">
        <is>
          <t>Side</t>
        </is>
      </c>
      <c r="C57" s="5">
        <f>IFERROR(IF(MAXIFS('Cook log'!A2:A1000,'Cook log'!C2:C1000,A57)=0,"",MAXIFS('Cook log'!A2:A1000,'Cook log'!C2:C1000,A57)),"")</f>
        <v/>
      </c>
      <c r="D57" s="4">
        <f>IF(C57="","",TODAY()-C57)</f>
        <v/>
      </c>
      <c r="E57" s="4">
        <f>COUNTIF('Cook log'!C2:C1000,A57)</f>
        <v/>
      </c>
      <c r="F57" s="6" t="n">
        <v>21</v>
      </c>
      <c r="G57" s="6">
        <f>IF(C57="","Never cooked",IF(D57&lt;F57,"Cooldown","Due"))</f>
        <v/>
      </c>
      <c r="H57" s="4" t="inlineStr">
        <is>
          <t>recipes/hey-zho.md - makes 13 rolls / 39 pieces; steamed 15 min, cooled, cornflour-coated, deep-fried. Needs 1kg peeled prawns, 5-spice beancurd skin. Never cooked</t>
        </is>
      </c>
    </row>
    <row r="58">
      <c r="A58" s="4" t="inlineStr">
        <is>
          <t>Thai fishcakes</t>
        </is>
      </c>
      <c r="B58" s="4" t="inlineStr">
        <is>
          <t>Side</t>
        </is>
      </c>
      <c r="C58" s="5">
        <f>IFERROR(IF(MAXIFS('Cook log'!A2:A1000,'Cook log'!C2:C1000,A58)=0,"",MAXIFS('Cook log'!A2:A1000,'Cook log'!C2:C1000,A58)),"")</f>
        <v/>
      </c>
      <c r="D58" s="4">
        <f>IF(C58="","",TODAY()-C58)</f>
        <v/>
      </c>
      <c r="E58" s="4">
        <f>COUNTIF('Cook log'!C2:C1000,A58)</f>
        <v/>
      </c>
      <c r="F58" s="6" t="n">
        <v>28</v>
      </c>
      <c r="G58" s="6">
        <f>IF(C58="","Never cooked",IF(D58&lt;F58,"Cooldown","Due"))</f>
        <v/>
      </c>
      <c r="H58" s="4" t="inlineStr">
        <is>
          <t>recipes/thai-fish-cakes.md - PRE-SCALED to 5.5 pax (x1.6); original video ingredients + user-supplied guide quantities. Deep-fried; spicy (red curry paste)</t>
        </is>
      </c>
    </row>
    <row r="59">
      <c r="A59" s="4" t="inlineStr">
        <is>
          <t>Beef steak</t>
        </is>
      </c>
      <c r="B59" s="4" t="inlineStr">
        <is>
          <t>Beef</t>
        </is>
      </c>
      <c r="C59" s="5">
        <f>IFERROR(IF(MAXIFS('Cook log'!A2:A1000,'Cook log'!C2:C1000,A59)=0,"",MAXIFS('Cook log'!A2:A1000,'Cook log'!C2:C1000,A59)),"")</f>
        <v/>
      </c>
      <c r="D59" s="4">
        <f>IF(C59="","",TODAY()-C59)</f>
        <v/>
      </c>
      <c r="E59" s="4">
        <f>COUNTIF('Cook log'!C2:C1000,A59)</f>
        <v/>
      </c>
      <c r="F59" s="6" t="n">
        <v>28</v>
      </c>
      <c r="G59" s="6">
        <f>IF(C59="","Never cooked",IF(D59&lt;F59,"Cooldown","Due"))</f>
        <v/>
      </c>
      <c r="H59" s="4" t="inlineStr"/>
    </row>
    <row r="60">
      <c r="A60" s="4" t="inlineStr">
        <is>
          <t>Cubano sandwich</t>
        </is>
      </c>
      <c r="B60" s="4" t="inlineStr">
        <is>
          <t>Western</t>
        </is>
      </c>
      <c r="C60" s="5">
        <f>IFERROR(IF(MAXIFS('Cook log'!A2:A1000,'Cook log'!C2:C1000,A60)=0,"",MAXIFS('Cook log'!A2:A1000,'Cook log'!C2:C1000,A60)),"")</f>
        <v/>
      </c>
      <c r="D60" s="4">
        <f>IF(C60="","",TODAY()-C60)</f>
        <v/>
      </c>
      <c r="E60" s="4">
        <f>COUNTIF('Cook log'!C2:C1000,A60)</f>
        <v/>
      </c>
      <c r="F60" s="6" t="n">
        <v>35</v>
      </c>
      <c r="G60" s="6">
        <f>IF(C60="","Never cooked",IF(D60&lt;F60,"Cooldown","Due"))</f>
        <v/>
      </c>
      <c r="H60" s="4" t="inlineStr"/>
    </row>
    <row r="61">
      <c r="A61" s="4" t="inlineStr">
        <is>
          <t>Philly cheesesteak</t>
        </is>
      </c>
      <c r="B61" s="4" t="inlineStr">
        <is>
          <t>Western</t>
        </is>
      </c>
      <c r="C61" s="5">
        <f>IFERROR(IF(MAXIFS('Cook log'!A2:A1000,'Cook log'!C2:C1000,A61)=0,"",MAXIFS('Cook log'!A2:A1000,'Cook log'!C2:C1000,A61)),"")</f>
        <v/>
      </c>
      <c r="D61" s="4">
        <f>IF(C61="","",TODAY()-C61)</f>
        <v/>
      </c>
      <c r="E61" s="4">
        <f>COUNTIF('Cook log'!C2:C1000,A61)</f>
        <v/>
      </c>
      <c r="F61" s="6" t="n">
        <v>35</v>
      </c>
      <c r="G61" s="6">
        <f>IF(C61="","Never cooked",IF(D61&lt;F61,"Cooldown","Due"))</f>
        <v/>
      </c>
      <c r="H61" s="4" t="inlineStr"/>
    </row>
    <row r="62">
      <c r="A62" s="4" t="inlineStr">
        <is>
          <t>Green curry</t>
        </is>
      </c>
      <c r="B62" s="4" t="inlineStr">
        <is>
          <t>Other</t>
        </is>
      </c>
      <c r="C62" s="5">
        <f>IFERROR(IF(MAXIFS('Cook log'!A2:A1000,'Cook log'!C2:C1000,A62)=0,"",MAXIFS('Cook log'!A2:A1000,'Cook log'!C2:C1000,A62)),"")</f>
        <v/>
      </c>
      <c r="D62" s="4">
        <f>IF(C62="","",TODAY()-C62)</f>
        <v/>
      </c>
      <c r="E62" s="4">
        <f>COUNTIF('Cook log'!C2:C1000,A62)</f>
        <v/>
      </c>
      <c r="F62" s="6" t="n">
        <v>28</v>
      </c>
      <c r="G62" s="6">
        <f>IF(C62="","Never cooked",IF(D62&lt;F62,"Cooldown","Due"))</f>
        <v/>
      </c>
      <c r="H62" s="4" t="inlineStr">
        <is>
          <t>recipes/thai-green-curry.md - Dancing Chef packet; eggplant, long beans, carrot (the user's usual); Sunday for 3 pax</t>
        </is>
      </c>
    </row>
    <row r="63">
      <c r="A63" s="4" t="inlineStr">
        <is>
          <t>Chicken noodle soup</t>
        </is>
      </c>
      <c r="B63" s="4" t="inlineStr">
        <is>
          <t>Soup</t>
        </is>
      </c>
      <c r="C63" s="5">
        <f>IFERROR(IF(MAXIFS('Cook log'!A2:A1000,'Cook log'!C2:C1000,A63)=0,"",MAXIFS('Cook log'!A2:A1000,'Cook log'!C2:C1000,A63)),"")</f>
        <v/>
      </c>
      <c r="D63" s="4">
        <f>IF(C63="","",TODAY()-C63)</f>
        <v/>
      </c>
      <c r="E63" s="4">
        <f>COUNTIF('Cook log'!C2:C1000,A63)</f>
        <v/>
      </c>
      <c r="F63" s="6" t="n">
        <v>28</v>
      </c>
      <c r="G63" s="6">
        <f>IF(C63="","Never cooked",IF(D63&lt;F63,"Cooldown","Due"))</f>
        <v/>
      </c>
      <c r="H63" s="4" t="inlineStr"/>
    </row>
    <row r="64">
      <c r="A64" s="4" t="inlineStr">
        <is>
          <t>Nasi lemak</t>
        </is>
      </c>
      <c r="B64" s="4" t="inlineStr">
        <is>
          <t>Rice</t>
        </is>
      </c>
      <c r="C64" s="5">
        <f>IFERROR(IF(MAXIFS('Cook log'!A2:A1000,'Cook log'!C2:C1000,A64)=0,"",MAXIFS('Cook log'!A2:A1000,'Cook log'!C2:C1000,A64)),"")</f>
        <v/>
      </c>
      <c r="D64" s="4">
        <f>IF(C64="","",TODAY()-C64)</f>
        <v/>
      </c>
      <c r="E64" s="4">
        <f>COUNTIF('Cook log'!C2:C1000,A64)</f>
        <v/>
      </c>
      <c r="F64" s="6" t="n">
        <v>28</v>
      </c>
      <c r="G64" s="6">
        <f>IF(C64="","Never cooked",IF(D64&lt;F64,"Cooldown","Due"))</f>
        <v/>
      </c>
      <c r="H64" s="4" t="inlineStr"/>
    </row>
    <row r="65">
      <c r="A65" s="4" t="inlineStr">
        <is>
          <t>Fried chicken wings</t>
        </is>
      </c>
      <c r="B65" s="4" t="inlineStr">
        <is>
          <t>Chicken</t>
        </is>
      </c>
      <c r="C65" s="5">
        <f>IFERROR(IF(MAXIFS('Cook log'!A2:A1000,'Cook log'!C2:C1000,A65)=0,"",MAXIFS('Cook log'!A2:A1000,'Cook log'!C2:C1000,A65)),"")</f>
        <v/>
      </c>
      <c r="D65" s="4">
        <f>IF(C65="","",TODAY()-C65)</f>
        <v/>
      </c>
      <c r="E65" s="4">
        <f>COUNTIF('Cook log'!C2:C1000,A65)</f>
        <v/>
      </c>
      <c r="F65" s="6" t="n">
        <v>21</v>
      </c>
      <c r="G65" s="6">
        <f>IF(C65="","Never cooked",IF(D65&lt;F65,"Cooldown","Due"))</f>
        <v/>
      </c>
      <c r="H65" s="4" t="inlineStr"/>
    </row>
    <row r="66">
      <c r="A66" s="4" t="inlineStr">
        <is>
          <t>Tamagoyaki</t>
        </is>
      </c>
      <c r="B66" s="4" t="inlineStr">
        <is>
          <t>Egg</t>
        </is>
      </c>
      <c r="C66" s="5">
        <f>IFERROR(IF(MAXIFS('Cook log'!A2:A1000,'Cook log'!C2:C1000,A66)=0,"",MAXIFS('Cook log'!A2:A1000,'Cook log'!C2:C1000,A66)),"")</f>
        <v/>
      </c>
      <c r="D66" s="4">
        <f>IF(C66="","",TODAY()-C66)</f>
        <v/>
      </c>
      <c r="E66" s="4">
        <f>COUNTIF('Cook log'!C2:C1000,A66)</f>
        <v/>
      </c>
      <c r="F66" s="6" t="n">
        <v>21</v>
      </c>
      <c r="G66" s="6">
        <f>IF(C66="","Never cooked",IF(D66&lt;F66,"Cooldown","Due"))</f>
        <v/>
      </c>
      <c r="H66" s="4" t="inlineStr"/>
    </row>
    <row r="67">
      <c r="A67" s="4" t="inlineStr">
        <is>
          <t>Sweet and sour pork</t>
        </is>
      </c>
      <c r="B67" s="4" t="inlineStr">
        <is>
          <t>Pork</t>
        </is>
      </c>
      <c r="C67" s="5">
        <f>IFERROR(IF(MAXIFS('Cook log'!A2:A1000,'Cook log'!C2:C1000,A67)=0,"",MAXIFS('Cook log'!A2:A1000,'Cook log'!C2:C1000,A67)),"")</f>
        <v/>
      </c>
      <c r="D67" s="4">
        <f>IF(C67="","",TODAY()-C67)</f>
        <v/>
      </c>
      <c r="E67" s="4">
        <f>COUNTIF('Cook log'!C2:C1000,A67)</f>
        <v/>
      </c>
      <c r="F67" s="6" t="n">
        <v>28</v>
      </c>
      <c r="G67" s="6">
        <f>IF(C67="","Never cooked",IF(D67&lt;F67,"Cooldown","Due"))</f>
        <v/>
      </c>
      <c r="H67" s="4" t="inlineStr"/>
    </row>
    <row r="68">
      <c r="A68" s="4" t="inlineStr">
        <is>
          <t>Rösti</t>
        </is>
      </c>
      <c r="B68" s="4" t="inlineStr">
        <is>
          <t>Side</t>
        </is>
      </c>
      <c r="C68" s="5">
        <f>IFERROR(IF(MAXIFS('Cook log'!A2:A1000,'Cook log'!C2:C1000,A68)=0,"",MAXIFS('Cook log'!A2:A1000,'Cook log'!C2:C1000,A68)),"")</f>
        <v/>
      </c>
      <c r="D68" s="4">
        <f>IF(C68="","",TODAY()-C68)</f>
        <v/>
      </c>
      <c r="E68" s="4">
        <f>COUNTIF('Cook log'!C2:C1000,A68)</f>
        <v/>
      </c>
      <c r="F68" s="6" t="n">
        <v>28</v>
      </c>
      <c r="G68" s="6">
        <f>IF(C68="","Never cooked",IF(D68&lt;F68,"Cooldown","Due"))</f>
        <v/>
      </c>
      <c r="H68" s="4" t="inlineStr"/>
    </row>
    <row r="69">
      <c r="A69" s="4" t="inlineStr">
        <is>
          <t>Stir fried dou miao</t>
        </is>
      </c>
      <c r="B69" s="4" t="inlineStr">
        <is>
          <t>Vegetable</t>
        </is>
      </c>
      <c r="C69" s="5">
        <f>IFERROR(IF(MAXIFS('Cook log'!A2:A1000,'Cook log'!C2:C1000,A69)=0,"",MAXIFS('Cook log'!A2:A1000,'Cook log'!C2:C1000,A69)),"")</f>
        <v/>
      </c>
      <c r="D69" s="4">
        <f>IF(C69="","",TODAY()-C69)</f>
        <v/>
      </c>
      <c r="E69" s="4">
        <f>COUNTIF('Cook log'!C2:C1000,A69)</f>
        <v/>
      </c>
      <c r="F69" s="6" t="n">
        <v>14</v>
      </c>
      <c r="G69" s="6">
        <f>IF(C69="","Never cooked",IF(D69&lt;F69,"Cooldown","Due"))</f>
        <v/>
      </c>
      <c r="H69" s="4" t="inlineStr"/>
    </row>
    <row r="70">
      <c r="A70" s="4" t="inlineStr">
        <is>
          <t>Threadfin kabayaki</t>
        </is>
      </c>
      <c r="B70" s="4" t="inlineStr">
        <is>
          <t>Fish</t>
        </is>
      </c>
      <c r="C70" s="5">
        <f>IFERROR(IF(MAXIFS('Cook log'!A2:A1000,'Cook log'!C2:C1000,A70)=0,"",MAXIFS('Cook log'!A2:A1000,'Cook log'!C2:C1000,A70)),"")</f>
        <v/>
      </c>
      <c r="D70" s="4">
        <f>IF(C70="","",TODAY()-C70)</f>
        <v/>
      </c>
      <c r="E70" s="4">
        <f>COUNTIF('Cook log'!C2:C1000,A70)</f>
        <v/>
      </c>
      <c r="F70" s="6" t="n">
        <v>21</v>
      </c>
      <c r="G70" s="6">
        <f>IF(C70="","Never cooked",IF(D70&lt;F70,"Cooldown","Due"))</f>
        <v/>
      </c>
      <c r="H70" s="4" t="inlineStr">
        <is>
          <t>Same recipe as salmon kabayaki</t>
        </is>
      </c>
    </row>
    <row r="71">
      <c r="A71" s="4" t="inlineStr">
        <is>
          <t>Prawn pancake</t>
        </is>
      </c>
      <c r="B71" s="4" t="inlineStr">
        <is>
          <t>Side</t>
        </is>
      </c>
      <c r="C71" s="5">
        <f>IFERROR(IF(MAXIFS('Cook log'!A2:A1000,'Cook log'!C2:C1000,A71)=0,"",MAXIFS('Cook log'!A2:A1000,'Cook log'!C2:C1000,A71)),"")</f>
        <v/>
      </c>
      <c r="D71" s="4">
        <f>IF(C71="","",TODAY()-C71)</f>
        <v/>
      </c>
      <c r="E71" s="4">
        <f>COUNTIF('Cook log'!C2:C1000,A71)</f>
        <v/>
      </c>
      <c r="F71" s="6" t="n">
        <v>21</v>
      </c>
      <c r="G71" s="6">
        <f>IF(C71="","Never cooked",IF(D71&lt;F71,"Cooldown","Due"))</f>
        <v/>
      </c>
      <c r="H71" s="4" t="inlineStr"/>
    </row>
    <row r="72">
      <c r="A72" t="inlineStr">
        <is>
          <t>Korean fried chicken wings</t>
        </is>
      </c>
      <c r="B72" t="inlineStr">
        <is>
          <t>Chicken</t>
        </is>
      </c>
      <c r="F72" t="n">
        <v>21</v>
      </c>
      <c r="H72" t="inlineStr">
        <is>
          <t>3 sauces: honey soy / black pepper / spicy sweet</t>
        </is>
      </c>
    </row>
    <row r="73">
      <c r="A73" t="inlineStr">
        <is>
          <t>Sambal kangkong</t>
        </is>
      </c>
      <c r="B73" t="inlineStr">
        <is>
          <t>Vegetable</t>
        </is>
      </c>
      <c r="F73" t="n">
        <v>14</v>
      </c>
    </row>
    <row r="74">
      <c r="A74" t="inlineStr">
        <is>
          <t>Beancurd meat rolls</t>
        </is>
      </c>
      <c r="B74" t="inlineStr">
        <is>
          <t>Side</t>
        </is>
      </c>
      <c r="F74" t="n">
        <v>28</v>
      </c>
      <c r="H74" t="inlineStr">
        <is>
          <t>Dim sum, prawn + pork filling</t>
        </is>
      </c>
    </row>
    <row r="75">
      <c r="A75" t="inlineStr">
        <is>
          <t>Fried yellow croaker</t>
        </is>
      </c>
      <c r="B75" t="inlineStr">
        <is>
          <t>Fish</t>
        </is>
      </c>
      <c r="F75" t="n">
        <v>21</v>
      </c>
    </row>
    <row r="76">
      <c r="A76" t="inlineStr">
        <is>
          <t>Lotus root pork rib soup</t>
        </is>
      </c>
      <c r="B76" t="inlineStr">
        <is>
          <t>Soup</t>
        </is>
      </c>
      <c r="F76" t="n">
        <v>21</v>
      </c>
    </row>
    <row r="77">
      <c r="A77" t="inlineStr">
        <is>
          <t>Steamed egg tofu with minced pork</t>
        </is>
      </c>
      <c r="B77" t="inlineStr">
        <is>
          <t>Egg</t>
        </is>
      </c>
      <c r="F77" t="n">
        <v>21</v>
      </c>
      <c r="H77" t="inlineStr">
        <is>
          <t>With dried scallop</t>
        </is>
      </c>
    </row>
    <row r="78">
      <c r="A78" t="inlineStr">
        <is>
          <t>Pandan chicken</t>
        </is>
      </c>
      <c r="B78" t="inlineStr">
        <is>
          <t>Chicken</t>
        </is>
      </c>
      <c r="F78" t="n">
        <v>28</v>
      </c>
      <c r="H78" t="inlineStr">
        <is>
          <t>Thai style</t>
        </is>
      </c>
    </row>
    <row r="79">
      <c r="A79" t="inlineStr">
        <is>
          <t>Beef stew</t>
        </is>
      </c>
      <c r="B79" t="inlineStr">
        <is>
          <t>Beef</t>
        </is>
      </c>
      <c r="F79" t="n">
        <v>35</v>
      </c>
      <c r="H79" t="inlineStr">
        <is>
          <t>Roland's classic Western braise</t>
        </is>
      </c>
    </row>
    <row r="80">
      <c r="A80" t="inlineStr">
        <is>
          <t>Garlic bread</t>
        </is>
      </c>
      <c r="B80" t="inlineStr">
        <is>
          <t>Side</t>
        </is>
      </c>
      <c r="F80" t="n">
        <v>21</v>
      </c>
    </row>
    <row r="81">
      <c r="A81" t="inlineStr">
        <is>
          <t>Egg omelette</t>
        </is>
      </c>
      <c r="B81" t="inlineStr">
        <is>
          <t>Egg</t>
        </is>
      </c>
      <c r="F81" t="n">
        <v>14</v>
      </c>
    </row>
    <row r="82">
      <c r="A82" t="inlineStr">
        <is>
          <t>Ikan bilis</t>
        </is>
      </c>
      <c r="B82" t="inlineStr">
        <is>
          <t>Side</t>
        </is>
      </c>
      <c r="F82" t="n">
        <v>14</v>
      </c>
      <c r="H82" t="inlineStr">
        <is>
          <t>For nasi lemak</t>
        </is>
      </c>
    </row>
    <row r="83">
      <c r="A83" t="inlineStr">
        <is>
          <t>Stir fried vegetable</t>
        </is>
      </c>
      <c r="B83" t="inlineStr">
        <is>
          <t>Vegetable</t>
        </is>
      </c>
      <c r="F83" t="n">
        <v>7</v>
      </c>
      <c r="H83" t="inlineStr">
        <is>
          <t>Generic placeholder</t>
        </is>
      </c>
    </row>
    <row r="84">
      <c r="A84" t="inlineStr">
        <is>
          <t>Fried yam shrimp</t>
        </is>
      </c>
      <c r="B84" t="inlineStr">
        <is>
          <t>Prawn</t>
        </is>
      </c>
      <c r="F84" t="n">
        <v>35</v>
      </c>
      <c r="H84" t="inlineStr">
        <is>
          <t>Dim sum</t>
        </is>
      </c>
    </row>
    <row r="85">
      <c r="A85" t="inlineStr">
        <is>
          <t>Japanese mushroom rice</t>
        </is>
      </c>
      <c r="B85" t="inlineStr">
        <is>
          <t>Rice</t>
        </is>
      </c>
      <c r="F85" t="n">
        <v>28</v>
      </c>
      <c r="H85" t="inlineStr">
        <is>
          <t>Takikomi gohan with shimeji/king oyster/shiitake</t>
        </is>
      </c>
    </row>
    <row r="86">
      <c r="A86" t="inlineStr">
        <is>
          <t>Spinach ban mian</t>
        </is>
      </c>
      <c r="B86" t="inlineStr">
        <is>
          <t>Noodle</t>
        </is>
      </c>
      <c r="C86">
        <f>IFERROR(IF(MAXIFS('Cook log'!A2:A1000,'Cook log'!C2:C1000,A86)=0,"",MAXIFS('Cook log'!A2:A1000,'Cook log'!C2:C1000,A86)),"")</f>
        <v/>
      </c>
      <c r="D86">
        <f>IF(C86="","",TODAY()-C86)</f>
        <v/>
      </c>
      <c r="E86">
        <f>COUNTIF('Cook log'!C2:C1000,A86)</f>
        <v/>
      </c>
      <c r="F86" t="n">
        <v>21</v>
      </c>
      <c r="G86">
        <f>IF(C86="","Never cooked",IF(D86&lt;F86,"Cooldown","Due"))</f>
        <v/>
      </c>
    </row>
    <row r="87">
      <c r="A87" t="inlineStr">
        <is>
          <t>Japanese miso butter mushroom</t>
        </is>
      </c>
      <c r="B87" t="inlineStr">
        <is>
          <t>Vegetable</t>
        </is>
      </c>
      <c r="C87">
        <f>IFERROR(IF(MAXIFS('Cook log'!A2:A1000,'Cook log'!C2:C1000,A87)=0,"",MAXIFS('Cook log'!A2:A1000,'Cook log'!C2:C1000,A87)),"")</f>
        <v/>
      </c>
      <c r="D87">
        <f>IF(C87="","",TODAY()-C87)</f>
        <v/>
      </c>
      <c r="E87">
        <f>COUNTIF('Cook log'!C2:C1000,A87)</f>
        <v/>
      </c>
      <c r="F87" t="n">
        <v>28</v>
      </c>
      <c r="G87">
        <f>IF(C87="","Never cooked",IF(D87&lt;F87,"Cooldown","Due"))</f>
        <v/>
      </c>
      <c r="H87" t="inlineStr">
        <is>
          <t>Foil yaki, assorted Japanese mushrooms</t>
        </is>
      </c>
    </row>
    <row r="88">
      <c r="A88" t="inlineStr">
        <is>
          <t>Fishball minced pork soup</t>
        </is>
      </c>
      <c r="B88" t="inlineStr">
        <is>
          <t>Soup</t>
        </is>
      </c>
      <c r="C88">
        <f>IFERROR(IF(MAXIFS('Cook log'!A2:A1000,'Cook log'!C2:C1000,A88)=0,"",MAXIFS('Cook log'!A2:A1000,'Cook log'!C2:C1000,A88)),"")</f>
        <v/>
      </c>
      <c r="D88">
        <f>IF(C88="","",TODAY()-C88)</f>
        <v/>
      </c>
      <c r="E88">
        <f>COUNTIF('Cook log'!C2:C1000,A88)</f>
        <v/>
      </c>
      <c r="F88" t="n">
        <v>21</v>
      </c>
      <c r="G88">
        <f>IF(C88="","Never cooked",IF(D88&lt;F88,"Cooldown","Due"))</f>
        <v/>
      </c>
      <c r="H88" t="inlineStr">
        <is>
          <t>Adaptable — add blanched leafy greens</t>
        </is>
      </c>
    </row>
    <row r="89">
      <c r="A89" t="inlineStr">
        <is>
          <t>Cheesy baked rice</t>
        </is>
      </c>
      <c r="B89" t="inlineStr">
        <is>
          <t>Rice</t>
        </is>
      </c>
      <c r="C89">
        <f>IFERROR(IF(MAXIFS('Cook log'!A2:A1000,'Cook log'!C2:C1000,A89)=0,"",MAXIFS('Cook log'!A2:A1000,'Cook log'!C2:C1000,A89)),"")</f>
        <v/>
      </c>
      <c r="D89">
        <f>IF(C89="","",TODAY()-C89)</f>
        <v/>
      </c>
      <c r="E89">
        <f>COUNTIF('Cook log'!C2:C1000,A89)</f>
        <v/>
      </c>
      <c r="F89" t="n">
        <v>28</v>
      </c>
      <c r="G89">
        <f>IF(C89="","Never cooked",IF(D89&lt;F89,"Cooldown","Due"))</f>
        <v/>
      </c>
      <c r="H89" t="inlineStr">
        <is>
          <t>Family recipe (Pa) — seafood + cheese</t>
        </is>
      </c>
    </row>
    <row r="90">
      <c r="A90" t="inlineStr">
        <is>
          <t>Claypot tofu (tofu hotplate with broccoli)</t>
        </is>
      </c>
      <c r="B90" t="inlineStr">
        <is>
          <t>Egg</t>
        </is>
      </c>
      <c r="C90">
        <f>IFERROR(IF(MAXIFS('Cook log'!A2:A1000,'Cook log'!C2:C1000,A90)=0,"",MAXIFS('Cook log'!A2:A1000,'Cook log'!C2:C1000,A90)),"")</f>
        <v/>
      </c>
      <c r="D90">
        <f>IF(C90="","",TODAY()-C90)</f>
        <v/>
      </c>
      <c r="E90">
        <f>COUNTIF('Cook log'!C2:C1000,A90)</f>
        <v/>
      </c>
      <c r="F90" t="n">
        <v>21</v>
      </c>
      <c r="G90">
        <f>IF(C90="","Never cooked",IF(D90&lt;F90,"Cooldown","Due"))</f>
        <v/>
      </c>
      <c r="H90" t="inlineStr">
        <is>
          <t>recipes/claypot-tofu.md. Broccoli substitutes the snow peas. Merged with the old "Tofu hotplate with broccoli" row - same dish</t>
        </is>
      </c>
    </row>
    <row r="91">
      <c r="A91" t="inlineStr">
        <is>
          <t>Yang Zhou fried rice</t>
        </is>
      </c>
      <c r="B91" t="inlineStr">
        <is>
          <t>Rice</t>
        </is>
      </c>
      <c r="C91">
        <f>IFERROR(IF(MAXIFS('Cook log'!A2:A1000,'Cook log'!C2:C1000,A91)=0,"",MAXIFS('Cook log'!A2:A1000,'Cook log'!C2:C1000,A91)),"")</f>
        <v/>
      </c>
      <c r="D91">
        <f>IF(C91="","",TODAY()-C91)</f>
        <v/>
      </c>
      <c r="E91">
        <f>COUNTIF('Cook log'!C2:C1000,A91)</f>
        <v/>
      </c>
      <c r="F91" t="n">
        <v>28</v>
      </c>
      <c r="G91">
        <f>IF(C91="","Never cooked",IF(D91&lt;F91,"Cooldown","Due"))</f>
        <v/>
      </c>
      <c r="H91" t="inlineStr">
        <is>
          <t>With jin hua ham</t>
        </is>
      </c>
    </row>
    <row r="92">
      <c r="A92" t="inlineStr">
        <is>
          <t>Prawn noodle soup</t>
        </is>
      </c>
      <c r="B92" t="inlineStr">
        <is>
          <t>Noodle</t>
        </is>
      </c>
      <c r="C92">
        <f>IFERROR(IF(MAXIFS('Cook log'!A2:A1000,'Cook log'!C2:C1000,A92)=0,"",MAXIFS('Cook log'!A2:A1000,'Cook log'!C2:C1000,A92)),"")</f>
        <v/>
      </c>
      <c r="D92">
        <f>IF(C92="","",TODAY()-C92)</f>
        <v/>
      </c>
      <c r="E92">
        <f>COUNTIF('Cook log'!C2:C1000,A92)</f>
        <v/>
      </c>
      <c r="F92" t="n">
        <v>21</v>
      </c>
      <c r="G92">
        <f>IF(C92="","Never cooked",IF(D92&lt;F92,"Cooldown","Due"))</f>
        <v/>
      </c>
    </row>
    <row r="93">
      <c r="A93" t="inlineStr">
        <is>
          <t>Baked salmon with herbs</t>
        </is>
      </c>
      <c r="B93" t="inlineStr">
        <is>
          <t>Fish</t>
        </is>
      </c>
      <c r="C93">
        <f>IFERROR(IF(MAXIFS('Cook log'!A2:A1000,'Cook log'!C2:C1000,A93)=0,"",MAXIFS('Cook log'!A2:A1000,'Cook log'!C2:C1000,A93)),"")</f>
        <v/>
      </c>
      <c r="D93">
        <f>IF(C93="","",TODAY()-C93)</f>
        <v/>
      </c>
      <c r="E93">
        <f>COUNTIF('Cook log'!C2:C1000,A93)</f>
        <v/>
      </c>
      <c r="F93" t="n">
        <v>21</v>
      </c>
      <c r="G93">
        <f>IF(C93="","Never cooked",IF(D93&lt;F93,"Cooldown","Due"))</f>
        <v/>
      </c>
    </row>
    <row r="94">
      <c r="A94" t="inlineStr">
        <is>
          <t>Stir-fry beef ramen</t>
        </is>
      </c>
      <c r="B94" t="inlineStr">
        <is>
          <t>Noodle</t>
        </is>
      </c>
      <c r="C94">
        <f>IFERROR(IF(MAXIFS('Cook log'!A2:A1000,'Cook log'!C2:C1000,A94)=0,"",MAXIFS('Cook log'!A2:A1000,'Cook log'!C2:C1000,A94)),"")</f>
        <v/>
      </c>
      <c r="D94">
        <f>IF(C94="","",TODAY()-C94)</f>
        <v/>
      </c>
      <c r="E94">
        <f>COUNTIF('Cook log'!C2:C1000,A94)</f>
        <v/>
      </c>
      <c r="F94" t="n">
        <v>21</v>
      </c>
      <c r="G94">
        <f>IF(C94="","Never cooked",IF(D94&lt;F94,"Cooldown","Due"))</f>
        <v/>
      </c>
    </row>
    <row r="95">
      <c r="A95" t="inlineStr">
        <is>
          <t>HK steamed chicken rice</t>
        </is>
      </c>
      <c r="B95" t="inlineStr">
        <is>
          <t>Rice</t>
        </is>
      </c>
      <c r="C95">
        <f>IFERROR(IF(MAXIFS('Cook log'!A2:A1000,'Cook log'!C2:C1000,A95)=0,"",MAXIFS('Cook log'!A2:A1000,'Cook log'!C2:C1000,A95)),"")</f>
        <v/>
      </c>
      <c r="D95">
        <f>IF(C95="","",TODAY()-C95)</f>
        <v/>
      </c>
      <c r="E95">
        <f>COUNTIF('Cook log'!C2:C1000,A95)</f>
        <v/>
      </c>
      <c r="F95" t="n">
        <v>21</v>
      </c>
      <c r="G95">
        <f>IF(C95="","Never cooked",IF(D95&lt;F95,"Cooldown","Due"))</f>
        <v/>
      </c>
    </row>
    <row r="96">
      <c r="A96" t="inlineStr">
        <is>
          <t>Wat Tan Hor Fun</t>
        </is>
      </c>
      <c r="B96" t="inlineStr">
        <is>
          <t>Noodle</t>
        </is>
      </c>
      <c r="C96">
        <f>IFERROR(IF(MAXIFS('Cook log'!A2:A1000,'Cook log'!C2:C1000,A96)=0,"",MAXIFS('Cook log'!A2:A1000,'Cook log'!C2:C1000,A96)),"")</f>
        <v/>
      </c>
      <c r="D96">
        <f>IF(C96="","",TODAY()-C96)</f>
        <v/>
      </c>
      <c r="E96">
        <f>COUNTIF('Cook log'!C2:C1000,A96)</f>
        <v/>
      </c>
      <c r="F96" t="n">
        <v>21</v>
      </c>
      <c r="G96">
        <f>IF(C96="","Never cooked",IF(D96&lt;F96,"Cooldown","Due"))</f>
        <v/>
      </c>
    </row>
    <row r="97">
      <c r="A97" t="inlineStr">
        <is>
          <t>Seafood pao fan</t>
        </is>
      </c>
      <c r="B97" t="inlineStr">
        <is>
          <t>Soup</t>
        </is>
      </c>
      <c r="C97">
        <f>IFERROR(IF(MAXIFS('Cook log'!A2:A1000,'Cook log'!C2:C1000,A97)=0,"",MAXIFS('Cook log'!A2:A1000,'Cook log'!C2:C1000,A97)),"")</f>
        <v/>
      </c>
      <c r="D97">
        <f>IF(C97="","",TODAY()-C97)</f>
        <v/>
      </c>
      <c r="E97">
        <f>COUNTIF('Cook log'!C2:C1000,A97)</f>
        <v/>
      </c>
      <c r="F97" t="n">
        <v>21</v>
      </c>
      <c r="G97">
        <f>IF(C97="","Never cooked",IF(D97&lt;F97,"Cooldown","Due"))</f>
        <v/>
      </c>
    </row>
    <row r="98">
      <c r="A98" t="inlineStr">
        <is>
          <t>Pepper lunch beef rice</t>
        </is>
      </c>
      <c r="B98" t="inlineStr">
        <is>
          <t>Rice</t>
        </is>
      </c>
      <c r="C98">
        <f>IFERROR(IF(MAXIFS('Cook log'!A2:A1000,'Cook log'!C2:C1000,A98)=0,"",MAXIFS('Cook log'!A2:A1000,'Cook log'!C2:C1000,A98)),"")</f>
        <v/>
      </c>
      <c r="D98">
        <f>IF(C98="","",TODAY()-C98)</f>
        <v/>
      </c>
      <c r="E98">
        <f>COUNTIF('Cook log'!C2:C1000,A98)</f>
        <v/>
      </c>
      <c r="F98" t="n">
        <v>21</v>
      </c>
      <c r="G98">
        <f>IF(C98="","Never cooked",IF(D98&lt;F98,"Cooldown","Due"))</f>
        <v/>
      </c>
    </row>
    <row r="99">
      <c r="A99" t="inlineStr">
        <is>
          <t>Tonjiru</t>
        </is>
      </c>
      <c r="B99" t="inlineStr">
        <is>
          <t>Soup</t>
        </is>
      </c>
      <c r="C99">
        <f>IFERROR(IF(MAXIFS('Cook log'!A2:A1000,'Cook log'!C2:C1000,A99)=0,"",MAXIFS('Cook log'!A2:A1000,'Cook log'!C2:C1000,A99)),"")</f>
        <v/>
      </c>
      <c r="D99">
        <f>IF(C99="","",TODAY()-C99)</f>
        <v/>
      </c>
      <c r="E99">
        <f>COUNTIF('Cook log'!C2:C1000,A99)</f>
        <v/>
      </c>
      <c r="F99" t="n">
        <v>21</v>
      </c>
      <c r="G99">
        <f>IF(C99="","Never cooked",IF(D99&lt;F99,"Cooldown","Due"))</f>
        <v/>
      </c>
    </row>
    <row r="100">
      <c r="A100" t="inlineStr">
        <is>
          <t>Chicken chop &amp; mushroom noodles</t>
        </is>
      </c>
      <c r="B100" t="inlineStr">
        <is>
          <t>Noodle</t>
        </is>
      </c>
      <c r="C100">
        <f>IFERROR(IF(MAXIFS('Cook log'!A2:A1000,'Cook log'!C2:C1000,A100)=0,"",MAXIFS('Cook log'!A2:A1000,'Cook log'!C2:C1000,A100)),"")</f>
        <v/>
      </c>
      <c r="D100">
        <f>IF(C100="","",TODAY()-C100)</f>
        <v/>
      </c>
      <c r="E100">
        <f>COUNTIF('Cook log'!C2:C1000,A100)</f>
        <v/>
      </c>
      <c r="F100" t="n">
        <v>21</v>
      </c>
      <c r="G100">
        <f>IF(C100="","Never cooked",IF(D100&lt;F100,"Cooldown","Due"))</f>
        <v/>
      </c>
    </row>
    <row r="101">
      <c r="A101" t="inlineStr">
        <is>
          <t>Stir-fried eggs and prawns</t>
        </is>
      </c>
      <c r="B101" t="inlineStr">
        <is>
          <t>Prawn</t>
        </is>
      </c>
      <c r="C101">
        <f>IFERROR(IF(MAXIFS('Cook log'!A2:A1000,'Cook log'!C2:C1000,A101)=0,"",MAXIFS('Cook log'!A2:A1000,'Cook log'!C2:C1000,A101)),"")</f>
        <v/>
      </c>
      <c r="D101">
        <f>IF(C101="","",TODAY()-C101)</f>
        <v/>
      </c>
      <c r="E101">
        <f>COUNTIF('Cook log'!C2:C1000,A101)</f>
        <v/>
      </c>
      <c r="F101" t="n">
        <v>21</v>
      </c>
      <c r="G101">
        <f>IF(C101="","Never cooked",IF(D101&lt;F101,"Cooldown","Due"))</f>
        <v/>
      </c>
      <c r="H101" t="inlineStr">
        <is>
          <t>Household - no recipe file. Eggs cooked firm, prawns opaque</t>
        </is>
      </c>
    </row>
    <row r="102">
      <c r="A102" t="inlineStr">
        <is>
          <t>Claypot Mee Tai Bak</t>
        </is>
      </c>
      <c r="B102" t="inlineStr">
        <is>
          <t>Noodle</t>
        </is>
      </c>
      <c r="C102">
        <f>IFERROR(IF(MAXIFS('Cook log'!A2:A1000,'Cook log'!C2:C1000,A102)=0,"",MAXIFS('Cook log'!A2:A1000,'Cook log'!C2:C1000,A102)),"")</f>
        <v/>
      </c>
      <c r="D102">
        <f>IF(C102="","",TODAY()-C102)</f>
        <v/>
      </c>
      <c r="E102">
        <f>COUNTIF('Cook log'!C2:C1000,A102)</f>
        <v/>
      </c>
      <c r="F102" t="n">
        <v>21</v>
      </c>
      <c r="G102">
        <f>IF(C102="","Never cooked",IF(D102&lt;F102,"Cooldown","Due"))</f>
        <v/>
      </c>
    </row>
    <row r="103">
      <c r="A103" t="inlineStr">
        <is>
          <t>Fried threadfin with onion</t>
        </is>
      </c>
      <c r="B103" t="inlineStr">
        <is>
          <t>Fish</t>
        </is>
      </c>
      <c r="C103">
        <f>IFERROR(IF(MAXIFS('Cook log'!A2:A1000,'Cook log'!C2:C1000,A103)=0,"",MAXIFS('Cook log'!A2:A1000,'Cook log'!C2:C1000,A103)),"")</f>
        <v/>
      </c>
      <c r="D103">
        <f>IF(C103="","",TODAY()-C103)</f>
        <v/>
      </c>
      <c r="E103">
        <f>COUNTIF('Cook log'!C2:C1000,A103)</f>
        <v/>
      </c>
      <c r="F103" t="n">
        <v>21</v>
      </c>
      <c r="G103">
        <f>IF(C103="","Never cooked",IF(D103&lt;F103,"Cooldown","Due"))</f>
        <v/>
      </c>
    </row>
    <row r="104">
      <c r="A104" t="inlineStr">
        <is>
          <t>Hainanese chap chye</t>
        </is>
      </c>
      <c r="B104" t="inlineStr">
        <is>
          <t>Vegetable</t>
        </is>
      </c>
      <c r="C104">
        <f>IFERROR(IF(MAXIFS('Cook log'!A2:A1000,'Cook log'!C2:C1000,A104)=0,"",MAXIFS('Cook log'!A2:A1000,'Cook log'!C2:C1000,A104)),"")</f>
        <v/>
      </c>
      <c r="D104">
        <f>IF(C104="","",TODAY()-C104)</f>
        <v/>
      </c>
      <c r="E104">
        <f>COUNTIF('Cook log'!C2:C1000,A104)</f>
        <v/>
      </c>
      <c r="F104" t="n">
        <v>21</v>
      </c>
      <c r="G104">
        <f>IF(C104="","Never cooked",IF(D104&lt;F104,"Cooldown","Due"))</f>
        <v/>
      </c>
    </row>
    <row r="105">
      <c r="A105" t="inlineStr">
        <is>
          <t>Shimeji spinach tofu</t>
        </is>
      </c>
      <c r="B105" t="inlineStr">
        <is>
          <t>Vegetable</t>
        </is>
      </c>
      <c r="C105">
        <f>IFERROR(IF(MAXIFS('Cook log'!A2:A1000,'Cook log'!C2:C1000,A105)=0,"",MAXIFS('Cook log'!A2:A1000,'Cook log'!C2:C1000,A105)),"")</f>
        <v/>
      </c>
      <c r="D105">
        <f>IF(C105="","",TODAY()-C105)</f>
        <v/>
      </c>
      <c r="E105">
        <f>COUNTIF('Cook log'!C2:C1000,A105)</f>
        <v/>
      </c>
      <c r="F105" t="n">
        <v>21</v>
      </c>
      <c r="G105">
        <f>IF(C105="","Never cooked",IF(D105&lt;F105,"Cooldown","Due"))</f>
        <v/>
      </c>
    </row>
    <row r="106">
      <c r="A106" t="inlineStr">
        <is>
          <t>Stir-fried eggplant and long bean with dried shrimp</t>
        </is>
      </c>
      <c r="B106" t="inlineStr">
        <is>
          <t>Vegetable</t>
        </is>
      </c>
      <c r="C106">
        <f>IFERROR(IF(MAXIFS('Cook log'!A2:A1000,'Cook log'!C2:C1000,A106)=0,"",MAXIFS('Cook log'!A2:A1000,'Cook log'!C2:C1000,A106)),"")</f>
        <v/>
      </c>
      <c r="D106">
        <f>IF(C106="","",TODAY()-C106)</f>
        <v/>
      </c>
      <c r="E106">
        <f>COUNTIF('Cook log'!C2:C1000,A106)</f>
        <v/>
      </c>
      <c r="F106" t="n">
        <v>21</v>
      </c>
      <c r="G106">
        <f>IF(C106="","Never cooked",IF(D106&lt;F106,"Cooldown","Due"))</f>
        <v/>
      </c>
    </row>
    <row r="107">
      <c r="A107" t="inlineStr">
        <is>
          <t>Spring onion beef stir fry</t>
        </is>
      </c>
      <c r="B107" t="inlineStr">
        <is>
          <t>Beef</t>
        </is>
      </c>
      <c r="C107">
        <f>IFERROR(IF(MAXIFS('Cook log'!A2:A1000,'Cook log'!C2:C1000,A107)=0,"",MAXIFS('Cook log'!A2:A1000,'Cook log'!C2:C1000,A107)),"")</f>
        <v/>
      </c>
      <c r="D107">
        <f>IF(C107="","",TODAY()-C107)</f>
        <v/>
      </c>
      <c r="E107">
        <f>COUNTIF('Cook log'!C2:C1000,A107)</f>
        <v/>
      </c>
      <c r="F107" t="n">
        <v>21</v>
      </c>
      <c r="G107">
        <f>IF(C107="","Never cooked",IF(D107&lt;F107,"Cooldown","Due"))</f>
        <v/>
      </c>
    </row>
    <row r="108">
      <c r="A108" t="inlineStr">
        <is>
          <t>Taiwanese fried rice</t>
        </is>
      </c>
      <c r="B108" t="inlineStr">
        <is>
          <t>Rice</t>
        </is>
      </c>
      <c r="C108">
        <f>IFERROR(IF(MAXIFS('Cook log'!A2:A1000,'Cook log'!C2:C1000,A108)=0,"",MAXIFS('Cook log'!A2:A1000,'Cook log'!C2:C1000,A108)),"")</f>
        <v/>
      </c>
      <c r="D108">
        <f>IF(C108="","",TODAY()-C108)</f>
        <v/>
      </c>
      <c r="E108">
        <f>COUNTIF('Cook log'!C2:C1000,A108)</f>
        <v/>
      </c>
      <c r="F108" t="n">
        <v>21</v>
      </c>
      <c r="G108">
        <f>IF(C108="","Never cooked",IF(D108&lt;F108,"Cooldown","Due"))</f>
        <v/>
      </c>
    </row>
    <row r="109">
      <c r="A109" t="inlineStr">
        <is>
          <t>Bolognese</t>
        </is>
      </c>
      <c r="B109" t="inlineStr">
        <is>
          <t>Western</t>
        </is>
      </c>
      <c r="C109">
        <f>IFERROR(IF(MAXIFS('Cook log'!A2:A1000,'Cook log'!C2:C1000,A109)=0,"",MAXIFS('Cook log'!A2:A1000,'Cook log'!C2:C1000,A109)),"")</f>
        <v/>
      </c>
      <c r="D109">
        <f>IF(C109="","",TODAY()-C109)</f>
        <v/>
      </c>
      <c r="E109">
        <f>COUNTIF('Cook log'!C2:C1000,A109)</f>
        <v/>
      </c>
      <c r="F109" t="n">
        <v>21</v>
      </c>
      <c r="G109">
        <f>IF(C109="","Never cooked",IF(D109&lt;F109,"Cooldown","Due"))</f>
        <v/>
      </c>
    </row>
    <row r="110">
      <c r="A110" t="inlineStr">
        <is>
          <t>Spicy gochujang noodles</t>
        </is>
      </c>
      <c r="B110" t="inlineStr">
        <is>
          <t>Noodle</t>
        </is>
      </c>
      <c r="C110">
        <f>IFERROR(IF(MAXIFS('Cook log'!A2:A1000,'Cook log'!C2:C1000,A110)=0,"",MAXIFS('Cook log'!A2:A1000,'Cook log'!C2:C1000,A110)),"")</f>
        <v/>
      </c>
      <c r="D110">
        <f>IF(C110="","",TODAY()-C110)</f>
        <v/>
      </c>
      <c r="E110">
        <f>COUNTIF('Cook log'!C2:C1000,A110)</f>
        <v/>
      </c>
      <c r="F110" t="n">
        <v>21</v>
      </c>
      <c r="G110">
        <f>IF(C110="","Never cooked",IF(D110&lt;F110,"Cooldown","Due"))</f>
        <v/>
      </c>
    </row>
    <row r="111">
      <c r="A111" t="inlineStr">
        <is>
          <t>Miso glazed eggplant</t>
        </is>
      </c>
      <c r="B111" t="inlineStr">
        <is>
          <t>Vegetable</t>
        </is>
      </c>
      <c r="C111">
        <f>IFERROR(IF(MAXIFS('Cook log'!A2:A1000,'Cook log'!C2:C1000,A111)=0,"",MAXIFS('Cook log'!A2:A1000,'Cook log'!C2:C1000,A111)),"")</f>
        <v/>
      </c>
      <c r="D111">
        <f>IF(C111="","",TODAY()-C111)</f>
        <v/>
      </c>
      <c r="E111">
        <f>COUNTIF('Cook log'!C2:C1000,A111)</f>
        <v/>
      </c>
      <c r="F111" t="n">
        <v>21</v>
      </c>
      <c r="G111">
        <f>IF(C111="","Never cooked",IF(D111&lt;F111,"Cooldown","Due"))</f>
        <v/>
      </c>
    </row>
    <row r="112">
      <c r="A112" t="inlineStr">
        <is>
          <t>Minestrone soup</t>
        </is>
      </c>
      <c r="B112" t="inlineStr">
        <is>
          <t>Western</t>
        </is>
      </c>
      <c r="C112">
        <f>IFERROR(IF(MAXIFS('Cook log'!A2:A1000,'Cook log'!C2:C1000,A112)=0,"",MAXIFS('Cook log'!A2:A1000,'Cook log'!C2:C1000,A112)),"")</f>
        <v/>
      </c>
      <c r="D112">
        <f>IF(C112="","",TODAY()-C112)</f>
        <v/>
      </c>
      <c r="E112">
        <f>COUNTIF('Cook log'!C2:C1000,A112)</f>
        <v/>
      </c>
      <c r="F112" t="n">
        <v>21</v>
      </c>
      <c r="G112">
        <f>IF(C112="","Never cooked",IF(D112&lt;F112,"Cooldown","Due"))</f>
        <v/>
      </c>
    </row>
    <row r="113">
      <c r="A113" t="inlineStr">
        <is>
          <t>Chinese yam and chicken soup</t>
        </is>
      </c>
      <c r="B113" t="inlineStr">
        <is>
          <t>Soup</t>
        </is>
      </c>
      <c r="C113">
        <f>IFERROR(IF(MAXIFS('Cook log'!A2:A1000,'Cook log'!C2:C1000,A113)=0,"",MAXIFS('Cook log'!A2:A1000,'Cook log'!C2:C1000,A113)),"")</f>
        <v/>
      </c>
      <c r="D113">
        <f>IF(C113="","",TODAY()-C113)</f>
        <v/>
      </c>
      <c r="E113">
        <f>COUNTIF('Cook log'!C2:C1000,A113)</f>
        <v/>
      </c>
      <c r="F113" t="n">
        <v>21</v>
      </c>
      <c r="G113">
        <f>IF(C113="","Never cooked",IF(D113&lt;F113,"Cooldown","Due"))</f>
        <v/>
      </c>
    </row>
    <row r="114">
      <c r="A114" t="inlineStr">
        <is>
          <t>Fishball and baby spinach soup</t>
        </is>
      </c>
      <c r="B114" t="inlineStr">
        <is>
          <t>Soup</t>
        </is>
      </c>
      <c r="C114">
        <f>IFERROR(IF(MAXIFS('Cook log'!A2:A1000,'Cook log'!C2:C1000,A114)=0,"",MAXIFS('Cook log'!A2:A1000,'Cook log'!C2:C1000,A114)),"")</f>
        <v/>
      </c>
      <c r="D114">
        <f>IF(C114="","",TODAY()-C114)</f>
        <v/>
      </c>
      <c r="E114">
        <f>COUNTIF('Cook log'!C2:C1000,A114)</f>
        <v/>
      </c>
      <c r="F114" t="n">
        <v>21</v>
      </c>
      <c r="G114">
        <f>IF(C114="","Never cooked",IF(D114&lt;F114,"Cooldown","Due"))</f>
        <v/>
      </c>
    </row>
    <row r="115">
      <c r="A115" t="inlineStr">
        <is>
          <t>Stir-fried potatoes &amp; carrots with minced meat</t>
        </is>
      </c>
      <c r="B115" t="inlineStr">
        <is>
          <t>Pork</t>
        </is>
      </c>
      <c r="C115">
        <f>IFERROR(IF(MAXIFS('Cook log'!A2:A1000,'Cook log'!C2:C1000,A115)=0,"",MAXIFS('Cook log'!A2:A1000,'Cook log'!C2:C1000,A115)),"")</f>
        <v/>
      </c>
      <c r="D115">
        <f>IF(C115="","",TODAY()-C115)</f>
        <v/>
      </c>
      <c r="E115">
        <f>COUNTIF('Cook log'!C2:C1000,A115)</f>
        <v/>
      </c>
      <c r="F115" t="n">
        <v>21</v>
      </c>
      <c r="G115">
        <f>IF(C115="","Never cooked",IF(D115&lt;F115,"Cooldown","Due"))</f>
        <v/>
      </c>
    </row>
    <row r="116">
      <c r="A116" t="inlineStr">
        <is>
          <t>Fried fish with Thai sweet chilli</t>
        </is>
      </c>
      <c r="B116" t="inlineStr">
        <is>
          <t>Fish</t>
        </is>
      </c>
      <c r="C116">
        <f>IFERROR(IF(MAXIFS('Cook log'!A2:A1000,'Cook log'!C2:C1000,A116)=0,"",MAXIFS('Cook log'!A2:A1000,'Cook log'!C2:C1000,A116)),"")</f>
        <v/>
      </c>
      <c r="D116">
        <f>IF(C116="","",TODAY()-C116)</f>
        <v/>
      </c>
      <c r="E116">
        <f>COUNTIF('Cook log'!C2:C1000,A116)</f>
        <v/>
      </c>
      <c r="F116" t="n">
        <v>21</v>
      </c>
      <c r="G116">
        <f>IF(C116="","Never cooked",IF(D116&lt;F116,"Cooldown","Due"))</f>
        <v/>
      </c>
    </row>
    <row r="117">
      <c r="A117" t="inlineStr">
        <is>
          <t>HK baked pork chop rice</t>
        </is>
      </c>
      <c r="B117" t="inlineStr">
        <is>
          <t>Rice</t>
        </is>
      </c>
      <c r="C117">
        <f>IFERROR(IF(MAXIFS('Cook log'!A2:A1000,'Cook log'!C2:C1000,A117)=0,"",MAXIFS('Cook log'!A2:A1000,'Cook log'!C2:C1000,A117)),"")</f>
        <v/>
      </c>
      <c r="D117">
        <f>IF(C117="","",TODAY()-C117)</f>
        <v/>
      </c>
      <c r="E117">
        <f>COUNTIF('Cook log'!C2:C1000,A117)</f>
        <v/>
      </c>
      <c r="F117" t="n">
        <v>21</v>
      </c>
      <c r="G117">
        <f>IF(C117="","Never cooked",IF(D117&lt;F117,"Cooldown","Due"))</f>
        <v/>
      </c>
    </row>
    <row r="118">
      <c r="A118" t="inlineStr">
        <is>
          <t>Shepherd's pie</t>
        </is>
      </c>
      <c r="B118" t="inlineStr">
        <is>
          <t>Western</t>
        </is>
      </c>
      <c r="C118">
        <f>IFERROR(IF(MAXIFS('Cook log'!A2:A1000,'Cook log'!C2:C1000,A118)=0,"",MAXIFS('Cook log'!A2:A1000,'Cook log'!C2:C1000,A118)),"")</f>
        <v/>
      </c>
      <c r="D118">
        <f>IF(C118="","",TODAY()-C118)</f>
        <v/>
      </c>
      <c r="E118">
        <f>COUNTIF('Cook log'!C2:C1000,A118)</f>
        <v/>
      </c>
      <c r="F118" t="n">
        <v>21</v>
      </c>
      <c r="G118">
        <f>IF(C118="","Never cooked",IF(D118&lt;F118,"Cooldown","Due"))</f>
        <v/>
      </c>
    </row>
    <row r="119">
      <c r="A119" t="inlineStr">
        <is>
          <t>Potato gratin</t>
        </is>
      </c>
      <c r="B119" t="inlineStr">
        <is>
          <t>Side</t>
        </is>
      </c>
      <c r="C119">
        <f>IFERROR(IF(MAXIFS('Cook log'!A2:A1000,'Cook log'!C2:C1000,A119)=0,"",MAXIFS('Cook log'!A2:A1000,'Cook log'!C2:C1000,A119)),"")</f>
        <v/>
      </c>
      <c r="D119">
        <f>IF(C119="","",TODAY()-C119)</f>
        <v/>
      </c>
      <c r="E119">
        <f>COUNTIF('Cook log'!C2:C1000,A119)</f>
        <v/>
      </c>
      <c r="F119" t="n">
        <v>21</v>
      </c>
      <c r="G119">
        <f>IF(C119="","Never cooked",IF(D119&lt;F119,"Cooldown","Due"))</f>
        <v/>
      </c>
    </row>
    <row r="120">
      <c r="A120" t="inlineStr">
        <is>
          <t>Oven baked chicken leg</t>
        </is>
      </c>
      <c r="B120" t="inlineStr">
        <is>
          <t>Chicken</t>
        </is>
      </c>
      <c r="C120">
        <f>IFERROR(IF(MAXIFS('Cook log'!A2:A1000,'Cook log'!C2:C1000,A120)=0,"",MAXIFS('Cook log'!A2:A1000,'Cook log'!C2:C1000,A120)),"")</f>
        <v/>
      </c>
      <c r="D120">
        <f>IF(C120="","",TODAY()-C120)</f>
        <v/>
      </c>
      <c r="E120">
        <f>COUNTIF('Cook log'!C2:C1000,A120)</f>
        <v/>
      </c>
      <c r="F120" t="n">
        <v>21</v>
      </c>
      <c r="G120">
        <f>IF(C120="","Never cooked",IF(D120&lt;F120,"Cooldown","Due"))</f>
        <v/>
      </c>
    </row>
    <row r="121">
      <c r="A121" t="inlineStr">
        <is>
          <t>Baked potatoes</t>
        </is>
      </c>
      <c r="B121" t="inlineStr">
        <is>
          <t>Side</t>
        </is>
      </c>
      <c r="C121">
        <f>IFERROR(IF(MAXIFS('Cook log'!A2:A1000,'Cook log'!C2:C1000,A121)=0,"",MAXIFS('Cook log'!A2:A1000,'Cook log'!C2:C1000,A121)),"")</f>
        <v/>
      </c>
      <c r="D121">
        <f>IF(C121="","",TODAY()-C121)</f>
        <v/>
      </c>
      <c r="E121">
        <f>COUNTIF('Cook log'!C2:C1000,A121)</f>
        <v/>
      </c>
      <c r="F121" t="n">
        <v>21</v>
      </c>
      <c r="G121">
        <f>IF(C121="","Never cooked",IF(D121&lt;F121,"Cooldown","Due"))</f>
        <v/>
      </c>
    </row>
    <row r="122">
      <c r="A122" t="inlineStr">
        <is>
          <t>Aligot</t>
        </is>
      </c>
      <c r="B122" t="inlineStr">
        <is>
          <t>Side</t>
        </is>
      </c>
      <c r="C122">
        <f>IFERROR(IF(MAXIFS('Cook log'!A2:A1000,'Cook log'!C2:C1000,A122)=0,"",MAXIFS('Cook log'!A2:A1000,'Cook log'!C2:C1000,A122)),"")</f>
        <v/>
      </c>
      <c r="D122">
        <f>IF(C122="","",TODAY()-C122)</f>
        <v/>
      </c>
      <c r="E122">
        <f>COUNTIF('Cook log'!C2:C1000,A122)</f>
        <v/>
      </c>
      <c r="F122" t="n">
        <v>21</v>
      </c>
      <c r="G122">
        <f>IF(C122="","Never cooked",IF(D122&lt;F122,"Cooldown","Due"))</f>
        <v/>
      </c>
    </row>
    <row r="123">
      <c r="A123" t="inlineStr">
        <is>
          <t>Baked pork chops</t>
        </is>
      </c>
      <c r="B123" t="inlineStr">
        <is>
          <t>Pork</t>
        </is>
      </c>
      <c r="C123">
        <f>IFERROR(IF(MAXIFS('Cook log'!A2:A1000,'Cook log'!C2:C1000,A123)=0,"",MAXIFS('Cook log'!A2:A1000,'Cook log'!C2:C1000,A123)),"")</f>
        <v/>
      </c>
      <c r="D123">
        <f>IF(C123="","",TODAY()-C123)</f>
        <v/>
      </c>
      <c r="E123">
        <f>COUNTIF('Cook log'!C2:C1000,A123)</f>
        <v/>
      </c>
      <c r="F123" t="n">
        <v>21</v>
      </c>
      <c r="G123">
        <f>IF(C123="","Never cooked",IF(D123&lt;F123,"Cooldown","Due"))</f>
        <v/>
      </c>
    </row>
    <row r="124">
      <c r="A124" t="inlineStr">
        <is>
          <t>Japanese curry rice</t>
        </is>
      </c>
      <c r="B124" t="inlineStr">
        <is>
          <t>Rice</t>
        </is>
      </c>
      <c r="C124">
        <f>IFERROR(IF(MAXIFS('Cook log'!A2:A1000,'Cook log'!C2:C1000,A124)=0,"",MAXIFS('Cook log'!A2:A1000,'Cook log'!C2:C1000,A124)),"")</f>
        <v/>
      </c>
      <c r="D124">
        <f>IF(C124="","",TODAY()-C124)</f>
        <v/>
      </c>
      <c r="E124">
        <f>COUNTIF('Cook log'!C2:C1000,A124)</f>
        <v/>
      </c>
      <c r="F124" t="n">
        <v>21</v>
      </c>
      <c r="G124">
        <f>IF(C124="","Never cooked",IF(D124&lt;F124,"Cooldown","Due"))</f>
        <v/>
      </c>
    </row>
    <row r="125">
      <c r="A125" t="inlineStr">
        <is>
          <t>Campbell's mushroom soup</t>
        </is>
      </c>
      <c r="B125" t="inlineStr">
        <is>
          <t>Soup</t>
        </is>
      </c>
      <c r="C125">
        <f>IFERROR(IF(MAXIFS('Cook log'!A2:A1000,'Cook log'!C2:C1000,A125)=0,"",MAXIFS('Cook log'!A2:A1000,'Cook log'!C2:C1000,A125)),"")</f>
        <v/>
      </c>
      <c r="D125">
        <f>IF(C125="","",TODAY()-C125)</f>
        <v/>
      </c>
      <c r="E125">
        <f>COUNTIF('Cook log'!C2:C1000,A125)</f>
        <v/>
      </c>
      <c r="F125" t="n">
        <v>21</v>
      </c>
      <c r="G125">
        <f>IF(C125="","Never cooked",IF(D125&lt;F125,"Cooldown","Due"))</f>
        <v/>
      </c>
    </row>
    <row r="126">
      <c r="A126" t="inlineStr">
        <is>
          <t>Grilled asparagus</t>
        </is>
      </c>
      <c r="B126" t="inlineStr">
        <is>
          <t>Vegetable</t>
        </is>
      </c>
      <c r="C126">
        <f>IFERROR(IF(MAXIFS('Cook log'!A2:A1000,'Cook log'!C2:C1000,A126)=0,"",MAXIFS('Cook log'!A2:A1000,'Cook log'!C2:C1000,A126)),"")</f>
        <v/>
      </c>
      <c r="D126">
        <f>IF(C126="","",TODAY()-C126)</f>
        <v/>
      </c>
      <c r="E126">
        <f>COUNTIF('Cook log'!C2:C1000,A126)</f>
        <v/>
      </c>
      <c r="F126" t="n">
        <v>21</v>
      </c>
      <c r="G126">
        <f>IF(C126="","Never cooked",IF(D126&lt;F126,"Cooldown","Due"))</f>
        <v/>
      </c>
    </row>
    <row r="127">
      <c r="A127" t="inlineStr">
        <is>
          <t>Grilled broccoli &amp; carrots</t>
        </is>
      </c>
      <c r="B127" t="inlineStr">
        <is>
          <t>Vegetable</t>
        </is>
      </c>
      <c r="C127">
        <f>IFERROR(IF(MAXIFS('Cook log'!A2:A1000,'Cook log'!C2:C1000,A127)=0,"",MAXIFS('Cook log'!A2:A1000,'Cook log'!C2:C1000,A127)),"")</f>
        <v/>
      </c>
      <c r="D127">
        <f>IF(C127="","",TODAY()-C127)</f>
        <v/>
      </c>
      <c r="E127">
        <f>COUNTIF('Cook log'!C2:C1000,A127)</f>
        <v/>
      </c>
      <c r="F127" t="n">
        <v>21</v>
      </c>
      <c r="G127">
        <f>IF(C127="","Never cooked",IF(D127&lt;F127,"Cooldown","Due"))</f>
        <v/>
      </c>
    </row>
    <row r="128">
      <c r="A128" t="inlineStr">
        <is>
          <t>Crispy roast potatoes</t>
        </is>
      </c>
      <c r="B128" t="inlineStr">
        <is>
          <t>Side</t>
        </is>
      </c>
      <c r="C128">
        <f>IFERROR(IF(MAXIFS('Cook log'!A2:A1000,'Cook log'!C2:C1000,A128)=0,"",MAXIFS('Cook log'!A2:A1000,'Cook log'!C2:C1000,A128)),"")</f>
        <v/>
      </c>
      <c r="D128">
        <f>IF(C128="","",TODAY()-C128)</f>
        <v/>
      </c>
      <c r="E128">
        <f>COUNTIF('Cook log'!C2:C1000,A128)</f>
        <v/>
      </c>
      <c r="F128" t="n">
        <v>21</v>
      </c>
      <c r="G128">
        <f>IF(C128="","Never cooked",IF(D128&lt;F128,"Cooldown","Due"))</f>
        <v/>
      </c>
      <c r="H128" t="inlineStr">
        <is>
          <t>recipes/roast-potatoes.md - 1.5kg for 5 pax; skip the raw parsley</t>
        </is>
      </c>
    </row>
    <row r="129">
      <c r="A129" t="inlineStr">
        <is>
          <t>Pasta arrabbiata</t>
        </is>
      </c>
      <c r="B129" t="inlineStr">
        <is>
          <t>Western</t>
        </is>
      </c>
      <c r="C129">
        <f>IFERROR(IF(MAXIFS('Cook log'!A2:A1000,'Cook log'!C2:C1000,A129)=0,"",MAXIFS('Cook log'!A2:A1000,'Cook log'!C2:C1000,A129)),"")</f>
        <v/>
      </c>
      <c r="D129">
        <f>IF(C129="","",TODAY()-C129)</f>
        <v/>
      </c>
      <c r="E129">
        <f>COUNTIF('Cook log'!C2:C1000,A129)</f>
        <v/>
      </c>
      <c r="F129" t="n">
        <v>21</v>
      </c>
      <c r="G129">
        <f>IF(C129="","Never cooked",IF(D129&lt;F129,"Cooldown","Due"))</f>
        <v/>
      </c>
    </row>
    <row r="130">
      <c r="A130" t="inlineStr">
        <is>
          <t>Pulled pork burger</t>
        </is>
      </c>
      <c r="B130" t="inlineStr">
        <is>
          <t>Pork</t>
        </is>
      </c>
      <c r="C130">
        <f>IFERROR(IF(MAXIFS('Cook log'!A2:A1000,'Cook log'!C2:C1000,A130)=0,"",MAXIFS('Cook log'!A2:A1000,'Cook log'!C2:C1000,A130)),"")</f>
        <v/>
      </c>
      <c r="D130">
        <f>IF(C130="","",TODAY()-C130)</f>
        <v/>
      </c>
      <c r="E130">
        <f>COUNTIF('Cook log'!C2:C1000,A130)</f>
        <v/>
      </c>
      <c r="F130" t="n">
        <v>21</v>
      </c>
      <c r="G130">
        <f>IF(C130="","Never cooked",IF(D130&lt;F130,"Cooldown","Due"))</f>
        <v/>
      </c>
    </row>
    <row r="131">
      <c r="A131" t="inlineStr">
        <is>
          <t>Spanish omelette</t>
        </is>
      </c>
      <c r="B131" t="inlineStr">
        <is>
          <t>Egg</t>
        </is>
      </c>
      <c r="C131">
        <f>IFERROR(IF(MAXIFS('Cook log'!A2:A1000,'Cook log'!C2:C1000,A131)=0,"",MAXIFS('Cook log'!A2:A1000,'Cook log'!C2:C1000,A131)),"")</f>
        <v/>
      </c>
      <c r="D131">
        <f>IF(C131="","",TODAY()-C131)</f>
        <v/>
      </c>
      <c r="E131">
        <f>COUNTIF('Cook log'!C2:C1000,A131)</f>
        <v/>
      </c>
      <c r="F131" t="n">
        <v>21</v>
      </c>
      <c r="G131">
        <f>IF(C131="","Never cooked",IF(D131&lt;F131,"Cooldown","Due"))</f>
        <v/>
      </c>
    </row>
    <row r="132">
      <c r="A132" t="inlineStr">
        <is>
          <t>Luncheon meat &amp; potatoes</t>
        </is>
      </c>
      <c r="B132" t="inlineStr">
        <is>
          <t>Pork</t>
        </is>
      </c>
      <c r="C132">
        <f>IFERROR(IF(MAXIFS('Cook log'!A2:A1000,'Cook log'!C2:C1000,A132)=0,"",MAXIFS('Cook log'!A2:A1000,'Cook log'!C2:C1000,A132)),"")</f>
        <v/>
      </c>
      <c r="D132">
        <f>IF(C132="","",TODAY()-C132)</f>
        <v/>
      </c>
      <c r="E132">
        <f>COUNTIF('Cook log'!C2:C1000,A132)</f>
        <v/>
      </c>
      <c r="F132" t="n">
        <v>21</v>
      </c>
      <c r="G132">
        <f>IF(C132="","Never cooked",IF(D132&lt;F132,"Cooldown","Due"))</f>
        <v/>
      </c>
    </row>
    <row r="133">
      <c r="A133" t="inlineStr">
        <is>
          <t>Frozen prata</t>
        </is>
      </c>
      <c r="B133" t="inlineStr">
        <is>
          <t>Side</t>
        </is>
      </c>
      <c r="C133">
        <f>IFERROR(IF(MAXIFS('Cook log'!A2:A1000,'Cook log'!C2:C1000,A133)=0,"",MAXIFS('Cook log'!A2:A1000,'Cook log'!C2:C1000,A133)),"")</f>
        <v/>
      </c>
      <c r="D133">
        <f>IF(C133="","",TODAY()-C133)</f>
        <v/>
      </c>
      <c r="E133">
        <f>COUNTIF('Cook log'!C2:C1000,A133)</f>
        <v/>
      </c>
      <c r="F133" t="n">
        <v>21</v>
      </c>
      <c r="G133">
        <f>IF(C133="","Never cooked",IF(D133&lt;F133,"Cooldown","Due"))</f>
        <v/>
      </c>
    </row>
    <row r="134">
      <c r="A134" t="inlineStr">
        <is>
          <t>Padang chicken curry</t>
        </is>
      </c>
      <c r="B134" t="inlineStr">
        <is>
          <t>Chicken</t>
        </is>
      </c>
      <c r="C134">
        <f>IFERROR(IF(MAXIFS('Cook log'!A2:A1000,'Cook log'!C2:C1000,A134)=0,"",MAXIFS('Cook log'!A2:A1000,'Cook log'!C2:C1000,A134)),"")</f>
        <v/>
      </c>
      <c r="D134">
        <f>IF(C134="","",TODAY()-C134)</f>
        <v/>
      </c>
      <c r="E134">
        <f>COUNTIF('Cook log'!C2:C1000,A134)</f>
        <v/>
      </c>
      <c r="F134" t="n">
        <v>21</v>
      </c>
      <c r="G134">
        <f>IF(C134="","Never cooked",IF(D134&lt;F134,"Cooldown","Due"))</f>
        <v/>
      </c>
    </row>
    <row r="135">
      <c r="A135" t="inlineStr">
        <is>
          <t>Sambal long beans</t>
        </is>
      </c>
      <c r="B135" t="inlineStr">
        <is>
          <t>Vegetable</t>
        </is>
      </c>
      <c r="C135">
        <f>IFERROR(IF(MAXIFS('Cook log'!A2:A1000,'Cook log'!C2:C1000,A135)=0,"",MAXIFS('Cook log'!A2:A1000,'Cook log'!C2:C1000,A135)),"")</f>
        <v/>
      </c>
      <c r="D135">
        <f>IF(C135="","",TODAY()-C135)</f>
        <v/>
      </c>
      <c r="E135">
        <f>COUNTIF('Cook log'!C2:C1000,A135)</f>
        <v/>
      </c>
      <c r="F135" t="n">
        <v>21</v>
      </c>
      <c r="G135">
        <f>IF(C135="","Never cooked",IF(D135&lt;F135,"Cooldown","Due"))</f>
        <v/>
      </c>
    </row>
    <row r="136">
      <c r="A136" t="inlineStr">
        <is>
          <t>Begedil</t>
        </is>
      </c>
      <c r="B136" t="inlineStr">
        <is>
          <t>Side</t>
        </is>
      </c>
      <c r="C136">
        <f>IFERROR(IF(MAXIFS('Cook log'!A2:A1000,'Cook log'!C2:C1000,A136)=0,"",MAXIFS('Cook log'!A2:A1000,'Cook log'!C2:C1000,A136)),"")</f>
        <v/>
      </c>
      <c r="D136">
        <f>IF(C136="","",TODAY()-C136)</f>
        <v/>
      </c>
      <c r="E136">
        <f>COUNTIF('Cook log'!C2:C1000,A136)</f>
        <v/>
      </c>
      <c r="F136" t="n">
        <v>21</v>
      </c>
      <c r="G136">
        <f>IF(C136="","Never cooked",IF(D136&lt;F136,"Cooldown","Due"))</f>
        <v/>
      </c>
    </row>
    <row r="137">
      <c r="A137" t="inlineStr">
        <is>
          <t>Grilled cheese</t>
        </is>
      </c>
      <c r="B137" t="inlineStr">
        <is>
          <t>Western</t>
        </is>
      </c>
      <c r="C137">
        <f>IFERROR(IF(MAXIFS('Cook log'!A2:A1000,'Cook log'!C2:C1000,A137)=0,"",MAXIFS('Cook log'!A2:A1000,'Cook log'!C2:C1000,A137)),"")</f>
        <v/>
      </c>
      <c r="D137">
        <f>IF(C137="","",TODAY()-C137)</f>
        <v/>
      </c>
      <c r="E137">
        <f>COUNTIF('Cook log'!C2:C1000,A137)</f>
        <v/>
      </c>
      <c r="F137" t="n">
        <v>21</v>
      </c>
      <c r="G137">
        <f>IF(C137="","Never cooked",IF(D137&lt;F137,"Cooldown","Due"))</f>
        <v/>
      </c>
    </row>
    <row r="138">
      <c r="A138" t="inlineStr">
        <is>
          <t>Tomato soup</t>
        </is>
      </c>
      <c r="B138" t="inlineStr">
        <is>
          <t>Soup</t>
        </is>
      </c>
      <c r="C138">
        <f>IFERROR(IF(MAXIFS('Cook log'!A2:A1000,'Cook log'!C2:C1000,A138)=0,"",MAXIFS('Cook log'!A2:A1000,'Cook log'!C2:C1000,A138)),"")</f>
        <v/>
      </c>
      <c r="D138">
        <f>IF(C138="","",TODAY()-C138)</f>
        <v/>
      </c>
      <c r="E138">
        <f>COUNTIF('Cook log'!C2:C1000,A138)</f>
        <v/>
      </c>
      <c r="F138" t="n">
        <v>21</v>
      </c>
      <c r="G138">
        <f>IF(C138="","Never cooked",IF(D138&lt;F138,"Cooldown","Due"))</f>
        <v/>
      </c>
    </row>
    <row r="139">
      <c r="A139" t="inlineStr">
        <is>
          <t>Fries</t>
        </is>
      </c>
      <c r="B139" t="inlineStr">
        <is>
          <t>Side</t>
        </is>
      </c>
      <c r="C139">
        <f>IFERROR(IF(MAXIFS('Cook log'!A2:A1000,'Cook log'!C2:C1000,A139)=0,"",MAXIFS('Cook log'!A2:A1000,'Cook log'!C2:C1000,A139)),"")</f>
        <v/>
      </c>
      <c r="D139">
        <f>IF(C139="","",TODAY()-C139)</f>
        <v/>
      </c>
      <c r="E139">
        <f>COUNTIF('Cook log'!C2:C1000,A139)</f>
        <v/>
      </c>
      <c r="F139" t="n">
        <v>21</v>
      </c>
      <c r="G139">
        <f>IF(C139="","Never cooked",IF(D139&lt;F139,"Cooldown","Due"))</f>
        <v/>
      </c>
    </row>
    <row r="140">
      <c r="A140" t="inlineStr">
        <is>
          <t>Braised pork with tofu and egg (Tau Yu Bak)</t>
        </is>
      </c>
      <c r="B140" t="inlineStr">
        <is>
          <t>Pork</t>
        </is>
      </c>
      <c r="C140">
        <f>IFERROR(IF(MAXIFS('Cook log'!A2:A1000,'Cook log'!C2:C1000,A140)=0,"",MAXIFS('Cook log'!A2:A1000,'Cook log'!C2:C1000,A140)),"")</f>
        <v/>
      </c>
      <c r="D140">
        <f>IF(C140="","",TODAY()-C140)</f>
        <v/>
      </c>
      <c r="E140">
        <f>COUNTIF('Cook log'!C2:C1000,A140)</f>
        <v/>
      </c>
      <c r="F140" t="n">
        <v>21</v>
      </c>
      <c r="G140">
        <f>IF(C140="","Never cooked",IF(D140&lt;F140,"Cooldown","Due"))</f>
        <v/>
      </c>
    </row>
    <row r="141">
      <c r="A141" t="inlineStr">
        <is>
          <t>Dry laksa</t>
        </is>
      </c>
      <c r="B141" t="inlineStr">
        <is>
          <t>Noodle</t>
        </is>
      </c>
      <c r="C141">
        <f>IFERROR(IF(MAXIFS('Cook log'!A2:A1000,'Cook log'!C2:C1000,A141)=0,"",MAXIFS('Cook log'!A2:A1000,'Cook log'!C2:C1000,A141)),"")</f>
        <v/>
      </c>
      <c r="D141">
        <f>IF(C141="","",TODAY()-C141)</f>
        <v/>
      </c>
      <c r="E141">
        <f>COUNTIF('Cook log'!C2:C1000,A141)</f>
        <v/>
      </c>
      <c r="F141" t="n">
        <v>21</v>
      </c>
      <c r="G141">
        <f>IF(C141="","Never cooked",IF(D141&lt;F141,"Cooldown","Due"))</f>
        <v/>
      </c>
    </row>
    <row r="142">
      <c r="A142" t="inlineStr">
        <is>
          <t>Japanese hamburg patty</t>
        </is>
      </c>
      <c r="B142" t="inlineStr">
        <is>
          <t>Beef</t>
        </is>
      </c>
      <c r="C142">
        <f>IFERROR(IF(MAXIFS('Cook log'!A2:A1000,'Cook log'!C2:C1000,A142)=0,"",MAXIFS('Cook log'!A2:A1000,'Cook log'!C2:C1000,A142)),"")</f>
        <v/>
      </c>
      <c r="D142">
        <f>IF(C142="","",TODAY()-C142)</f>
        <v/>
      </c>
      <c r="E142">
        <f>COUNTIF('Cook log'!C2:C1000,A142)</f>
        <v/>
      </c>
      <c r="F142" t="n">
        <v>21</v>
      </c>
      <c r="G142">
        <f>IF(C142="","Never cooked",IF(D142&lt;F142,"Cooldown","Due"))</f>
        <v/>
      </c>
    </row>
    <row r="143">
      <c r="A143" t="inlineStr">
        <is>
          <t>Dry mee siam</t>
        </is>
      </c>
      <c r="B143" t="inlineStr">
        <is>
          <t>Noodle</t>
        </is>
      </c>
      <c r="C143">
        <f>IFERROR(IF(MAXIFS('Cook log'!A2:A1000,'Cook log'!C2:C1000,A143)=0,"",MAXIFS('Cook log'!A2:A1000,'Cook log'!C2:C1000,A143)),"")</f>
        <v/>
      </c>
      <c r="D143">
        <f>IF(C143="","",TODAY()-C143)</f>
        <v/>
      </c>
      <c r="E143">
        <f>COUNTIF('Cook log'!C2:C1000,A143)</f>
        <v/>
      </c>
      <c r="F143" t="n">
        <v>21</v>
      </c>
      <c r="G143">
        <f>IF(C143="","Never cooked",IF(D143&lt;F143,"Cooldown","Due"))</f>
        <v/>
      </c>
    </row>
    <row r="144">
      <c r="A144" t="inlineStr">
        <is>
          <t>Chicken curry</t>
        </is>
      </c>
      <c r="B144" t="inlineStr">
        <is>
          <t>Chicken</t>
        </is>
      </c>
      <c r="C144">
        <f>IFERROR(IF(MAXIFS('Cook log'!A2:A1000,'Cook log'!C2:C1000,A144)=0,"",MAXIFS('Cook log'!A2:A1000,'Cook log'!C2:C1000,A144)),"")</f>
        <v/>
      </c>
      <c r="D144">
        <f>IF(C144="","",TODAY()-C144)</f>
        <v/>
      </c>
      <c r="E144">
        <f>COUNTIF('Cook log'!C2:C1000,A144)</f>
        <v/>
      </c>
      <c r="F144" t="n">
        <v>21</v>
      </c>
      <c r="G144">
        <f>IF(C144="","Never cooked",IF(D144&lt;F144,"Cooldown","Due"))</f>
        <v/>
      </c>
      <c r="H144" t="inlineStr">
        <is>
          <t>recipes/chicken-curry-potato.md - 4-6 pax as written; cut dried chillies to 3-4 for the child</t>
        </is>
      </c>
    </row>
    <row r="145">
      <c r="A145" t="inlineStr">
        <is>
          <t>Baby back ribs</t>
        </is>
      </c>
      <c r="B145" t="inlineStr">
        <is>
          <t>Pork</t>
        </is>
      </c>
      <c r="C145">
        <f>IFERROR(IF(MAXIFS('Cook log'!A2:A1000,'Cook log'!C2:C1000,A145)=0,"",MAXIFS('Cook log'!A2:A1000,'Cook log'!C2:C1000,A145)),"")</f>
        <v/>
      </c>
      <c r="D145">
        <f>IF(C145="","",TODAY()-C145)</f>
        <v/>
      </c>
      <c r="E145">
        <f>COUNTIF('Cook log'!C2:C1000,A145)</f>
        <v/>
      </c>
      <c r="F145" t="n">
        <v>21</v>
      </c>
      <c r="G145">
        <f>IF(C145="","Never cooked",IF(D145&lt;F145,"Cooldown","Due"))</f>
        <v/>
      </c>
    </row>
    <row r="146">
      <c r="A146" t="inlineStr">
        <is>
          <t>Cornbread</t>
        </is>
      </c>
      <c r="B146" t="inlineStr">
        <is>
          <t>Side</t>
        </is>
      </c>
      <c r="C146">
        <f>IFERROR(IF(MAXIFS('Cook log'!A2:A1000,'Cook log'!C2:C1000,A146)=0,"",MAXIFS('Cook log'!A2:A1000,'Cook log'!C2:C1000,A146)),"")</f>
        <v/>
      </c>
      <c r="D146">
        <f>IF(C146="","",TODAY()-C146)</f>
        <v/>
      </c>
      <c r="E146">
        <f>COUNTIF('Cook log'!C2:C1000,A146)</f>
        <v/>
      </c>
      <c r="F146" t="n">
        <v>21</v>
      </c>
      <c r="G146">
        <f>IF(C146="","Never cooked",IF(D146&lt;F146,"Cooldown","Due"))</f>
        <v/>
      </c>
    </row>
    <row r="147">
      <c r="A147" t="inlineStr">
        <is>
          <t>Creamed spinach</t>
        </is>
      </c>
      <c r="B147" t="inlineStr">
        <is>
          <t>Vegetable</t>
        </is>
      </c>
      <c r="C147">
        <f>IFERROR(IF(MAXIFS('Cook log'!A2:A1000,'Cook log'!C2:C1000,A147)=0,"",MAXIFS('Cook log'!A2:A1000,'Cook log'!C2:C1000,A147)),"")</f>
        <v/>
      </c>
      <c r="D147">
        <f>IF(C147="","",TODAY()-C147)</f>
        <v/>
      </c>
      <c r="E147">
        <f>COUNTIF('Cook log'!C2:C1000,A147)</f>
        <v/>
      </c>
      <c r="F147" t="n">
        <v>21</v>
      </c>
      <c r="G147">
        <f>IF(C147="","Never cooked",IF(D147&lt;F147,"Cooldown","Due"))</f>
        <v/>
      </c>
    </row>
    <row r="148">
      <c r="A148" t="inlineStr">
        <is>
          <t>Steamed rice</t>
        </is>
      </c>
      <c r="B148" t="inlineStr">
        <is>
          <t>Rice</t>
        </is>
      </c>
      <c r="C148">
        <f>IFERROR(IF(MAXIFS('Cook log'!A2:A1000,'Cook log'!C2:C1000,A148)=0,"",MAXIFS('Cook log'!A2:A1000,'Cook log'!C2:C1000,A148)),"")</f>
        <v/>
      </c>
      <c r="D148">
        <f>IF(C148="","",TODAY()-C148)</f>
        <v/>
      </c>
      <c r="E148">
        <f>COUNTIF('Cook log'!C2:C1000,A148)</f>
        <v/>
      </c>
      <c r="F148" t="n">
        <v>14</v>
      </c>
      <c r="G148">
        <f>IF(C148="","Never cooked",IF(D148&lt;F148,"Cooldown","Due"))</f>
        <v/>
      </c>
    </row>
    <row r="149">
      <c r="A149" t="inlineStr">
        <is>
          <t>Bread</t>
        </is>
      </c>
      <c r="B149" t="inlineStr">
        <is>
          <t>Side</t>
        </is>
      </c>
      <c r="C149">
        <f>IFERROR(IF(MAXIFS('Cook log'!A2:A1000,'Cook log'!C2:C1000,A149)=0,"",MAXIFS('Cook log'!A2:A1000,'Cook log'!C2:C1000,A149)),"")</f>
        <v/>
      </c>
      <c r="D149">
        <f>IF(C149="","",TODAY()-C149)</f>
        <v/>
      </c>
      <c r="E149">
        <f>COUNTIF('Cook log'!C2:C1000,A149)</f>
        <v/>
      </c>
      <c r="F149" t="n">
        <v>14</v>
      </c>
      <c r="G149">
        <f>IF(C149="","Never cooked",IF(D149&lt;F149,"Cooldown","Due"))</f>
        <v/>
      </c>
    </row>
    <row r="150">
      <c r="A150" t="inlineStr">
        <is>
          <t>Hokkien hai fan (ah gong)</t>
        </is>
      </c>
      <c r="B150" t="inlineStr">
        <is>
          <t>Rice</t>
        </is>
      </c>
      <c r="C150">
        <f>IFERROR(IF(MAXIFS('Cook log'!A2:A1000,'Cook log'!C2:C1000,A150)=0,"",MAXIFS('Cook log'!A2:A1000,'Cook log'!C2:C1000,A150)),"")</f>
        <v/>
      </c>
      <c r="D150">
        <f>IF(C150="","",TODAY()-C150)</f>
        <v/>
      </c>
      <c r="E150">
        <f>COUNTIF('Cook log'!C2:C1000,A150)</f>
        <v/>
      </c>
      <c r="F150" t="n">
        <v>21</v>
      </c>
      <c r="G150">
        <f>IF(C150="","Never cooked",IF(D150&lt;F150,"Cooldown","Due"))</f>
        <v/>
      </c>
    </row>
    <row r="151">
      <c r="A151" t="inlineStr">
        <is>
          <t>Stir-fried baby bok choy</t>
        </is>
      </c>
      <c r="B151" t="inlineStr">
        <is>
          <t>Vegetable</t>
        </is>
      </c>
      <c r="C151">
        <f>IFERROR(IF(MAXIFS('Cook log'!A2:A1000,'Cook log'!C2:C1000,A151)=0,"",MAXIFS('Cook log'!A2:A1000,'Cook log'!C2:C1000,A151)),"")</f>
        <v/>
      </c>
      <c r="D151">
        <f>IF(C151="","",TODAY()-C151)</f>
        <v/>
      </c>
      <c r="E151">
        <f>COUNTIF('Cook log'!C2:C1000,A151)</f>
        <v/>
      </c>
      <c r="F151" t="n">
        <v>14</v>
      </c>
      <c r="G151">
        <f>IF(C151="","Never cooked",IF(D151&lt;F151,"Cooldown","Due"))</f>
        <v/>
      </c>
    </row>
    <row r="152">
      <c r="A152" t="inlineStr">
        <is>
          <t>Cheese sausage</t>
        </is>
      </c>
      <c r="B152" t="inlineStr">
        <is>
          <t>Other</t>
        </is>
      </c>
      <c r="C152">
        <f>IFERROR(IF(MAXIFS('Cook log'!A2:A1000,'Cook log'!C2:C1000,A152)=0,"",MAXIFS('Cook log'!A2:A1000,'Cook log'!C2:C1000,A152)),"")</f>
        <v/>
      </c>
      <c r="D152">
        <f>IF(C152="","",TODAY()-C152)</f>
        <v/>
      </c>
      <c r="E152">
        <f>COUNTIF('Cook log'!C2:C1000,A152)</f>
        <v/>
      </c>
      <c r="F152" t="n">
        <v>14</v>
      </c>
      <c r="G152">
        <f>IF(C152="","Never cooked",IF(D152&lt;F152,"Cooldown","Due"))</f>
        <v/>
      </c>
    </row>
    <row r="153">
      <c r="A153" t="inlineStr">
        <is>
          <t>Egg fried rice with char siew</t>
        </is>
      </c>
      <c r="B153" t="inlineStr">
        <is>
          <t>Rice</t>
        </is>
      </c>
      <c r="C153">
        <f>IFERROR(IF(MAXIFS('Cook log'!A2:A1000,'Cook log'!C2:C1000,A153)=0,"",MAXIFS('Cook log'!A2:A1000,'Cook log'!C2:C1000,A153)),"")</f>
        <v/>
      </c>
      <c r="D153">
        <f>IF(C153="","",TODAY()-C153)</f>
        <v/>
      </c>
      <c r="E153">
        <f>COUNTIF('Cook log'!C2:C1000,A153)</f>
        <v/>
      </c>
      <c r="F153" t="n">
        <v>21</v>
      </c>
      <c r="G153">
        <f>IF(C153="","Never cooked",IF(D153&lt;F153,"Cooldown","Due"))</f>
        <v/>
      </c>
    </row>
    <row r="154">
      <c r="A154" t="inlineStr">
        <is>
          <t>Udon</t>
        </is>
      </c>
      <c r="B154" t="inlineStr">
        <is>
          <t>Noodle</t>
        </is>
      </c>
      <c r="C154">
        <f>IFERROR(IF(MAXIFS('Cook log'!A2:A1000,'Cook log'!C2:C1000,A154)=0,"",MAXIFS('Cook log'!A2:A1000,'Cook log'!C2:C1000,A154)),"")</f>
        <v/>
      </c>
      <c r="D154">
        <f>IF(C154="","",TODAY()-C154)</f>
        <v/>
      </c>
      <c r="E154">
        <f>COUNTIF('Cook log'!C2:C1000,A154)</f>
        <v/>
      </c>
      <c r="F154" t="n">
        <v>21</v>
      </c>
      <c r="G154">
        <f>IF(C154="","Never cooked",IF(D154&lt;F154,"Cooldown","Due"))</f>
        <v/>
      </c>
    </row>
    <row r="155">
      <c r="A155" t="inlineStr">
        <is>
          <t>Yasai tempura</t>
        </is>
      </c>
      <c r="B155" t="inlineStr">
        <is>
          <t>Side</t>
        </is>
      </c>
      <c r="C155">
        <f>IFERROR(IF(MAXIFS('Cook log'!A2:A1000,'Cook log'!C2:C1000,A155)=0,"",MAXIFS('Cook log'!A2:A1000,'Cook log'!C2:C1000,A155)),"")</f>
        <v/>
      </c>
      <c r="D155">
        <f>IF(C155="","",TODAY()-C155)</f>
        <v/>
      </c>
      <c r="E155">
        <f>COUNTIF('Cook log'!C2:C1000,A155)</f>
        <v/>
      </c>
      <c r="F155" t="n">
        <v>21</v>
      </c>
      <c r="G155">
        <f>IF(C155="","Never cooked",IF(D155&lt;F155,"Cooldown","Due"))</f>
        <v/>
      </c>
    </row>
    <row r="156">
      <c r="A156" t="inlineStr">
        <is>
          <t>HK-style steamed chicken</t>
        </is>
      </c>
      <c r="B156" t="inlineStr">
        <is>
          <t>Chicken</t>
        </is>
      </c>
      <c r="C156">
        <f>IFERROR(IF(MAXIFS('Cook log'!A2:A1000,'Cook log'!C2:C1000,A156)=0,"",MAXIFS('Cook log'!A2:A1000,'Cook log'!C2:C1000,A156)),"")</f>
        <v/>
      </c>
      <c r="D156">
        <f>IF(C156="","",TODAY()-C156)</f>
        <v/>
      </c>
      <c r="E156">
        <f>COUNTIF('Cook log'!C2:C1000,A156)</f>
        <v/>
      </c>
      <c r="F156" t="n">
        <v>21</v>
      </c>
      <c r="G156">
        <f>IF(C156="","Never cooked",IF(D156&lt;F156,"Cooldown","Due"))</f>
        <v/>
      </c>
    </row>
    <row r="157">
      <c r="A157" t="inlineStr">
        <is>
          <t>Pork congee with dried scallop</t>
        </is>
      </c>
      <c r="B157" t="inlineStr">
        <is>
          <t>Rice</t>
        </is>
      </c>
      <c r="C157">
        <f>IFERROR(IF(MAXIFS('Cook log'!A2:A1000,'Cook log'!C2:C1000,A157)=0,"",MAXIFS('Cook log'!A2:A1000,'Cook log'!C2:C1000,A157)),"")</f>
        <v/>
      </c>
      <c r="D157">
        <f>IF(C157="","",TODAY()-C157)</f>
        <v/>
      </c>
      <c r="E157">
        <f>COUNTIF('Cook log'!C2:C1000,A157)</f>
        <v/>
      </c>
      <c r="F157" t="n">
        <v>21</v>
      </c>
      <c r="G157">
        <f>IF(C157="","Never cooked",IF(D157&lt;F157,"Cooldown","Due"))</f>
        <v/>
      </c>
    </row>
    <row r="158">
      <c r="A158" t="inlineStr">
        <is>
          <t>Youtiao</t>
        </is>
      </c>
      <c r="B158" t="inlineStr">
        <is>
          <t>Side</t>
        </is>
      </c>
      <c r="C158">
        <f>IFERROR(IF(MAXIFS('Cook log'!A2:A1000,'Cook log'!C2:C1000,A158)=0,"",MAXIFS('Cook log'!A2:A1000,'Cook log'!C2:C1000,A158)),"")</f>
        <v/>
      </c>
      <c r="D158">
        <f>IF(C158="","",TODAY()-C158)</f>
        <v/>
      </c>
      <c r="E158">
        <f>COUNTIF('Cook log'!C2:C1000,A158)</f>
        <v/>
      </c>
      <c r="F158" t="n">
        <v>14</v>
      </c>
      <c r="G158">
        <f>IF(C158="","Never cooked",IF(D158&lt;F158,"Cooldown","Due"))</f>
        <v/>
      </c>
    </row>
    <row r="159">
      <c r="A159" t="inlineStr">
        <is>
          <t>Kong bak pau (braised pork buns)</t>
        </is>
      </c>
      <c r="B159" t="inlineStr">
        <is>
          <t>Pork</t>
        </is>
      </c>
      <c r="C159">
        <f>IFERROR(IF(MAXIFS('Cook log'!A2:A1000,'Cook log'!C2:C1000,A159)=0,"",MAXIFS('Cook log'!A2:A1000,'Cook log'!C2:C1000,A159)),"")</f>
        <v/>
      </c>
      <c r="D159">
        <f>IF(C159="","",TODAY()-C159)</f>
        <v/>
      </c>
      <c r="E159">
        <f>COUNTIF('Cook log'!C2:C1000,A159)</f>
        <v/>
      </c>
      <c r="F159" t="n">
        <v>21</v>
      </c>
      <c r="G159">
        <f>IF(C159="","Never cooked",IF(D159&lt;F159,"Cooldown","Due"))</f>
        <v/>
      </c>
    </row>
    <row r="160">
      <c r="A160" t="inlineStr">
        <is>
          <t>Hot and sour soup</t>
        </is>
      </c>
      <c r="B160" t="inlineStr">
        <is>
          <t>Soup</t>
        </is>
      </c>
      <c r="C160">
        <f>IFERROR(IF(MAXIFS('Cook log'!A2:A1000,'Cook log'!C2:C1000,A160)=0,"",MAXIFS('Cook log'!A2:A1000,'Cook log'!C2:C1000,A160)),"")</f>
        <v/>
      </c>
      <c r="D160">
        <f>IF(C160="","",TODAY()-C160)</f>
        <v/>
      </c>
      <c r="E160">
        <f>COUNTIF('Cook log'!C2:C1000,A160)</f>
        <v/>
      </c>
      <c r="F160" t="n">
        <v>21</v>
      </c>
      <c r="G160">
        <f>IF(C160="","Never cooked",IF(D160&lt;F160,"Cooldown","Due"))</f>
        <v/>
      </c>
    </row>
    <row r="161">
      <c r="A161" t="inlineStr">
        <is>
          <t>Chicken tsukune</t>
        </is>
      </c>
      <c r="B161" t="inlineStr">
        <is>
          <t>Chicken</t>
        </is>
      </c>
      <c r="C161">
        <f>IFERROR(IF(MAXIFS('Cook log'!A2:A1000,'Cook log'!C2:C1000,A161)=0,"",MAXIFS('Cook log'!A2:A1000,'Cook log'!C2:C1000,A161)),"")</f>
        <v/>
      </c>
      <c r="D161">
        <f>IF(C161="","",TODAY()-C161)</f>
        <v/>
      </c>
      <c r="E161">
        <f>COUNTIF('Cook log'!C2:C1000,A161)</f>
        <v/>
      </c>
      <c r="F161" t="n">
        <v>21</v>
      </c>
      <c r="G161">
        <f>IF(C161="","Never cooked",IF(D161&lt;F161,"Cooldown","Due"))</f>
        <v/>
      </c>
    </row>
    <row r="162">
      <c r="A162" t="inlineStr">
        <is>
          <t>Sticky honey pork</t>
        </is>
      </c>
      <c r="B162" t="inlineStr">
        <is>
          <t>Pork</t>
        </is>
      </c>
      <c r="C162">
        <f>IFERROR(IF(MAXIFS('Cook log'!A2:A1000,'Cook log'!C2:C1000,A162)=0,"",MAXIFS('Cook log'!A2:A1000,'Cook log'!C2:C1000,A162)),"")</f>
        <v/>
      </c>
      <c r="D162">
        <f>IF(C162="","",TODAY()-C162)</f>
        <v/>
      </c>
      <c r="E162">
        <f>COUNTIF('Cook log'!C2:C1000,A162)</f>
        <v/>
      </c>
      <c r="F162" t="n">
        <v>21</v>
      </c>
      <c r="G162">
        <f>IF(C162="","Never cooked",IF(D162&lt;F162,"Cooldown","Due"))</f>
        <v/>
      </c>
    </row>
    <row r="163">
      <c r="A163" t="inlineStr">
        <is>
          <t>Chicken rendang</t>
        </is>
      </c>
      <c r="B163" t="inlineStr">
        <is>
          <t>Chicken</t>
        </is>
      </c>
      <c r="C163">
        <f>IFERROR(IF(MAXIFS('Cook log'!A2:A1000,'Cook log'!C2:C1000,A163)=0,"",MAXIFS('Cook log'!A2:A1000,'Cook log'!C2:C1000,A163)),"")</f>
        <v/>
      </c>
      <c r="D163">
        <f>IF(C163="","",TODAY()-C163)</f>
        <v/>
      </c>
      <c r="E163">
        <f>COUNTIF('Cook log'!C2:C1000,A163)</f>
        <v/>
      </c>
      <c r="F163" t="n">
        <v>28</v>
      </c>
      <c r="G163">
        <f>IF(C163="","Never cooked",IF(D163&lt;F163,"Cooldown","Due"))</f>
        <v/>
      </c>
    </row>
    <row r="164">
      <c r="A164" t="inlineStr">
        <is>
          <t>Steamed stuffed tofu puffs</t>
        </is>
      </c>
      <c r="B164" t="inlineStr">
        <is>
          <t>Pork</t>
        </is>
      </c>
      <c r="C164">
        <f>IFERROR(IF(MAXIFS('Cook log'!A2:A1000,'Cook log'!C2:C1000,A164)=0,"",MAXIFS('Cook log'!A2:A1000,'Cook log'!C2:C1000,A164)),"")</f>
        <v/>
      </c>
      <c r="D164">
        <f>IF(C164="","",TODAY()-C164)</f>
        <v/>
      </c>
      <c r="E164">
        <f>COUNTIF('Cook log'!C2:C1000,A164)</f>
        <v/>
      </c>
      <c r="F164" t="n">
        <v>21</v>
      </c>
      <c r="G164">
        <f>IF(C164="","Never cooked",IF(D164&lt;F164,"Cooldown","Due"))</f>
        <v/>
      </c>
    </row>
    <row r="165">
      <c r="A165" t="inlineStr">
        <is>
          <t>Lotus leaf rice</t>
        </is>
      </c>
      <c r="B165" t="inlineStr">
        <is>
          <t>Rice</t>
        </is>
      </c>
      <c r="C165">
        <f>IFERROR(IF(MAXIFS('Cook log'!A2:A1000,'Cook log'!C2:C1000,A165)=0,"",MAXIFS('Cook log'!A2:A1000,'Cook log'!C2:C1000,A165)),"")</f>
        <v/>
      </c>
      <c r="D165">
        <f>IF(C165="","",TODAY()-C165)</f>
        <v/>
      </c>
      <c r="E165">
        <f>COUNTIF('Cook log'!C2:C1000,A165)</f>
        <v/>
      </c>
      <c r="F165" t="n">
        <v>28</v>
      </c>
      <c r="G165">
        <f>IF(C165="","Never cooked",IF(D165&lt;F165,"Cooldown","Due"))</f>
        <v/>
      </c>
    </row>
    <row r="166">
      <c r="A166" t="inlineStr">
        <is>
          <t>Teochew braised duck</t>
        </is>
      </c>
      <c r="B166" t="inlineStr">
        <is>
          <t>Other</t>
        </is>
      </c>
      <c r="C166">
        <f>IFERROR(IF(MAXIFS('Cook log'!A2:A1000,'Cook log'!C2:C1000,A166)=0,"",MAXIFS('Cook log'!A2:A1000,'Cook log'!C2:C1000,A166)),"")</f>
        <v/>
      </c>
      <c r="D166">
        <f>IF(C166="","",TODAY()-C166)</f>
        <v/>
      </c>
      <c r="E166">
        <f>COUNTIF('Cook log'!C2:C1000,A166)</f>
        <v/>
      </c>
      <c r="F166" t="n">
        <v>35</v>
      </c>
      <c r="G166">
        <f>IF(C166="","Never cooked",IF(D166&lt;F166,"Cooldown","Due"))</f>
        <v/>
      </c>
      <c r="H166" t="inlineStr">
        <is>
          <t>Whole duck; elaborate braise</t>
        </is>
      </c>
    </row>
    <row r="167">
      <c r="A167" t="inlineStr">
        <is>
          <t>Mei cai kou rou (Cantonese style)</t>
        </is>
      </c>
      <c r="B167" t="inlineStr">
        <is>
          <t>Pork</t>
        </is>
      </c>
      <c r="C167">
        <f>IFERROR(IF(MAXIFS('Cook log'!A2:A1000,'Cook log'!C2:C1000,A167)=0,"",MAXIFS('Cook log'!A2:A1000,'Cook log'!C2:C1000,A167)),"")</f>
        <v/>
      </c>
      <c r="D167">
        <f>IF(C167="","",TODAY()-C167)</f>
        <v/>
      </c>
      <c r="E167">
        <f>COUNTIF('Cook log'!C2:C1000,A167)</f>
        <v/>
      </c>
      <c r="F167" t="n">
        <v>28</v>
      </c>
      <c r="G167">
        <f>IF(C167="","Never cooked",IF(D167&lt;F167,"Cooldown","Due"))</f>
        <v/>
      </c>
      <c r="H167" t="inlineStr">
        <is>
          <t>Steamed 1.5-2 hr; see also Hakka version</t>
        </is>
      </c>
    </row>
    <row r="168">
      <c r="A168" t="inlineStr">
        <is>
          <t>Hakka mei cai kou rou</t>
        </is>
      </c>
      <c r="B168" t="inlineStr">
        <is>
          <t>Pork</t>
        </is>
      </c>
      <c r="C168">
        <f>IFERROR(IF(MAXIFS('Cook log'!A2:A1000,'Cook log'!C2:C1000,A168)=0,"",MAXIFS('Cook log'!A2:A1000,'Cook log'!C2:C1000,A168)),"")</f>
        <v/>
      </c>
      <c r="D168">
        <f>IF(C168="","",TODAY()-C168)</f>
        <v/>
      </c>
      <c r="E168">
        <f>COUNTIF('Cook log'!C2:C1000,A168)</f>
        <v/>
      </c>
      <c r="F168" t="n">
        <v>28</v>
      </c>
      <c r="G168">
        <f>IF(C168="","Never cooked",IF(D168&lt;F168,"Cooldown","Due"))</f>
        <v/>
      </c>
      <c r="H168" t="inlineStr">
        <is>
          <t>Poach-poke-fry skin; near-duplicate of Mei cai kou rou (Cantonese) - do not schedule both in the same month</t>
        </is>
      </c>
    </row>
    <row r="169">
      <c r="A169" t="inlineStr">
        <is>
          <t>Winter melon bamboo shoot ham soup</t>
        </is>
      </c>
      <c r="B169" t="inlineStr">
        <is>
          <t>Soup</t>
        </is>
      </c>
      <c r="C169">
        <f>IFERROR(IF(MAXIFS('Cook log'!A2:A1000,'Cook log'!C2:C1000,A169)=0,"",MAXIFS('Cook log'!A2:A1000,'Cook log'!C2:C1000,A169)),"")</f>
        <v/>
      </c>
      <c r="D169">
        <f>IF(C169="","",TODAY()-C169)</f>
        <v/>
      </c>
      <c r="E169">
        <f>COUNTIF('Cook log'!C2:C1000,A169)</f>
        <v/>
      </c>
      <c r="F169" t="n">
        <v>21</v>
      </c>
      <c r="G169">
        <f>IF(C169="","Never cooked",IF(D169&lt;F169,"Cooldown","Due"))</f>
        <v/>
      </c>
      <c r="H169" t="inlineStr">
        <is>
          <t>Soak dried bamboo shoots overnight</t>
        </is>
      </c>
    </row>
    <row r="170">
      <c r="A170" t="inlineStr">
        <is>
          <t>Beef rendang</t>
        </is>
      </c>
      <c r="B170" t="inlineStr">
        <is>
          <t>Beef</t>
        </is>
      </c>
      <c r="C170">
        <f>IFERROR(IF(MAXIFS('Cook log'!A2:A1000,'Cook log'!C2:C1000,A170)=0,"",MAXIFS('Cook log'!A2:A1000,'Cook log'!C2:C1000,A170)),"")</f>
        <v/>
      </c>
      <c r="D170">
        <f>IF(C170="","",TODAY()-C170)</f>
        <v/>
      </c>
      <c r="E170">
        <f>COUNTIF('Cook log'!C2:C1000,A170)</f>
        <v/>
      </c>
      <c r="F170" t="n">
        <v>28</v>
      </c>
      <c r="G170">
        <f>IF(C170="","Never cooked",IF(D170&lt;F170,"Cooldown","Due"))</f>
        <v/>
      </c>
      <c r="H170" t="inlineStr">
        <is>
          <t>Madam Kwan's paste version; 50 min simmer. Scratch rempah version = Chicken rendang recipe</t>
        </is>
      </c>
    </row>
    <row r="171">
      <c r="A171" t="inlineStr">
        <is>
          <t>Cereal pork chop</t>
        </is>
      </c>
      <c r="B171" t="inlineStr">
        <is>
          <t>Pork</t>
        </is>
      </c>
      <c r="C171">
        <f>IFERROR(IF(MAXIFS('Cook log'!A2:A1000,'Cook log'!C2:C1000,A171)=0,"",MAXIFS('Cook log'!A2:A1000,'Cook log'!C2:C1000,A171)),"")</f>
        <v/>
      </c>
      <c r="D171">
        <f>IF(C171="","",TODAY()-C171)</f>
        <v/>
      </c>
      <c r="E171">
        <f>COUNTIF('Cook log'!C2:C1000,A171)</f>
        <v/>
      </c>
      <c r="F171" t="n">
        <v>21</v>
      </c>
      <c r="G171">
        <f>IF(C171="","Never cooked",IF(D171&lt;F171,"Cooldown","Due"))</f>
        <v/>
      </c>
      <c r="H171" t="inlineStr">
        <is>
          <t>Deep-fried; toss in buttery cereal</t>
        </is>
      </c>
    </row>
    <row r="172">
      <c r="A172" t="inlineStr">
        <is>
          <t>Braised pork ribs</t>
        </is>
      </c>
      <c r="B172" t="inlineStr">
        <is>
          <t>Pork</t>
        </is>
      </c>
      <c r="C172">
        <f>IFERROR(IF(MAXIFS('Cook log'!A2:A1000,'Cook log'!C2:C1000,A172)=0,"",MAXIFS('Cook log'!A2:A1000,'Cook log'!C2:C1000,A172)),"")</f>
        <v/>
      </c>
      <c r="D172">
        <f>IF(C172="","",TODAY()-C172)</f>
        <v/>
      </c>
      <c r="E172">
        <f>COUNTIF('Cook log'!C2:C1000,A172)</f>
        <v/>
      </c>
      <c r="F172" t="n">
        <v>21</v>
      </c>
      <c r="G172">
        <f>IF(C172="","Never cooked",IF(D172&lt;F172,"Cooldown","Due"))</f>
        <v/>
      </c>
      <c r="H172" t="inlineStr">
        <is>
          <t>1 cup rice wine - long braise</t>
        </is>
      </c>
    </row>
    <row r="173">
      <c r="A173" t="inlineStr">
        <is>
          <t>Pork krapow (Pad Kra Pao)</t>
        </is>
      </c>
      <c r="B173" t="inlineStr">
        <is>
          <t>Pork</t>
        </is>
      </c>
      <c r="C173">
        <f>IFERROR(IF(MAXIFS('Cook log'!A2:A1000,'Cook log'!C2:C1000,A173)=0,"",MAXIFS('Cook log'!A2:A1000,'Cook log'!C2:C1000,A173)),"")</f>
        <v/>
      </c>
      <c r="D173">
        <f>IF(C173="","",TODAY()-C173)</f>
        <v/>
      </c>
      <c r="E173">
        <f>COUNTIF('Cook log'!C2:C1000,A173)</f>
        <v/>
      </c>
      <c r="F173" t="n">
        <v>21</v>
      </c>
      <c r="G173">
        <f>IF(C173="","Never cooked",IF(D173&lt;F173,"Cooldown","Due"))</f>
        <v/>
      </c>
      <c r="H173" t="inlineStr">
        <is>
          <t>Thai holy basil stir-fry; recipe written for chicken, pork works</t>
        </is>
      </c>
    </row>
    <row r="174">
      <c r="A174" t="inlineStr">
        <is>
          <t>Braised mushrooms with spinach</t>
        </is>
      </c>
      <c r="B174" t="inlineStr">
        <is>
          <t>Vegetable</t>
        </is>
      </c>
      <c r="C174">
        <f>IFERROR(IF(MAXIFS('Cook log'!A2:A1000,'Cook log'!C2:C1000,A174)=0,"",MAXIFS('Cook log'!A2:A1000,'Cook log'!C2:C1000,A174)),"")</f>
        <v/>
      </c>
      <c r="D174">
        <f>IF(C174="","",TODAY()-C174)</f>
        <v/>
      </c>
      <c r="E174">
        <f>COUNTIF('Cook log'!C2:C1000,A174)</f>
        <v/>
      </c>
      <c r="F174" t="n">
        <v>21</v>
      </c>
      <c r="G174">
        <f>IF(C174="","Never cooked",IF(D174&lt;F174,"Cooldown","Due"))</f>
        <v/>
      </c>
      <c r="H174" t="inlineStr">
        <is>
          <t>recipes/braised-mushrooms-spinach.md - recipe existed with no rotation row</t>
        </is>
      </c>
    </row>
    <row r="175">
      <c r="A175" t="inlineStr">
        <is>
          <t>Crispy fried tofu with meat floss</t>
        </is>
      </c>
      <c r="B175" t="inlineStr">
        <is>
          <t>Vegetable</t>
        </is>
      </c>
      <c r="C175">
        <f>IFERROR(IF(MAXIFS('Cook log'!A2:A1000,'Cook log'!C2:C1000,A175)=0,"",MAXIFS('Cook log'!A2:A1000,'Cook log'!C2:C1000,A175)),"")</f>
        <v/>
      </c>
      <c r="D175">
        <f>IF(C175="","",TODAY()-C175)</f>
        <v/>
      </c>
      <c r="E175">
        <f>COUNTIF('Cook log'!C2:C1000,A175)</f>
        <v/>
      </c>
      <c r="F175" t="n">
        <v>21</v>
      </c>
      <c r="G175">
        <f>IF(C175="","Never cooked",IF(D175&lt;F175,"Cooldown","Due"))</f>
        <v/>
      </c>
      <c r="H175" t="inlineStr">
        <is>
          <t>Omit sesame oil; sub chicken stock powder for mushroom granules</t>
        </is>
      </c>
    </row>
    <row r="176">
      <c r="A176" t="inlineStr">
        <is>
          <t>Pan-fried threadfin with leek</t>
        </is>
      </c>
      <c r="B176" t="inlineStr">
        <is>
          <t>Fish</t>
        </is>
      </c>
      <c r="C176">
        <f>IFERROR(IF(MAXIFS('Cook log'!A2:A1000,'Cook log'!C2:C1000,A176)=0,"",MAXIFS('Cook log'!A2:A1000,'Cook log'!C2:C1000,A176)),"")</f>
        <v/>
      </c>
      <c r="D176">
        <f>IF(C176="","",TODAY()-C176)</f>
        <v/>
      </c>
      <c r="E176">
        <f>COUNTIF('Cook log'!C2:C1000,A176)</f>
        <v/>
      </c>
      <c r="F176" t="n">
        <v>21</v>
      </c>
      <c r="G176">
        <f>IF(C176="","Never cooked",IF(D176&lt;F176,"Cooldown","Due"))</f>
        <v/>
      </c>
      <c r="H176" t="inlineStr">
        <is>
          <t>Household - no recipe file. Was Mia's dish; Mia briefed Jayzel on household dishes before leaving 3 Oct 2026 - check Jayzel knows this one</t>
        </is>
      </c>
    </row>
    <row r="177">
      <c r="A177" t="inlineStr">
        <is>
          <t>Tofu with preserved vegetable</t>
        </is>
      </c>
      <c r="B177" t="inlineStr">
        <is>
          <t>Vegetable</t>
        </is>
      </c>
      <c r="C177">
        <f>IFERROR(IF(MAXIFS('Cook log'!A2:A1000,'Cook log'!C2:C1000,A177)=0,"",MAXIFS('Cook log'!A2:A1000,'Cook log'!C2:C1000,A177)),"")</f>
        <v/>
      </c>
      <c r="D177">
        <f>IF(C177="","",TODAY()-C177)</f>
        <v/>
      </c>
      <c r="E177">
        <f>COUNTIF('Cook log'!C2:C1000,A177)</f>
        <v/>
      </c>
      <c r="F177" t="n">
        <v>21</v>
      </c>
      <c r="G177">
        <f>IF(C177="","Never cooked",IF(D177&lt;F177,"Cooldown","Due"))</f>
        <v/>
      </c>
      <c r="H177" t="inlineStr">
        <is>
          <t>Household - chai poh tofu; rinse the preserved veg well</t>
        </is>
      </c>
    </row>
    <row r="178">
      <c r="A178" t="inlineStr">
        <is>
          <t>Hokkien gai fan</t>
        </is>
      </c>
      <c r="B178" t="inlineStr">
        <is>
          <t>Rice</t>
        </is>
      </c>
      <c r="C178">
        <f>IFERROR(IF(MAXIFS('Cook log'!A2:A1000,'Cook log'!C2:C1000,A178)=0,"",MAXIFS('Cook log'!A2:A1000,'Cook log'!C2:C1000,A178)),"")</f>
        <v/>
      </c>
      <c r="D178">
        <f>IF(C178="","",TODAY()-C178)</f>
        <v/>
      </c>
      <c r="E178">
        <f>COUNTIF('Cook log'!C2:C1000,A178)</f>
        <v/>
      </c>
      <c r="F178" t="n">
        <v>21</v>
      </c>
      <c r="G178">
        <f>IF(C178="","Never cooked",IF(D178&lt;F178,"Cooldown","Due"))</f>
        <v/>
      </c>
      <c r="H178" t="inlineStr">
        <is>
          <t>Household - no recipe file. Was Mia's dish; Mia briefed Jayzel on household dishes before leaving 3 Oct 2026 - check Jayzel knows this one</t>
        </is>
      </c>
    </row>
    <row r="179">
      <c r="A179" t="inlineStr">
        <is>
          <t>Satay</t>
        </is>
      </c>
      <c r="B179" t="inlineStr">
        <is>
          <t>Other</t>
        </is>
      </c>
      <c r="C179">
        <f>IFERROR(IF(MAXIFS('Cook log'!A2:A1000,'Cook log'!C2:C1000,A179)=0,"",MAXIFS('Cook log'!A2:A1000,'Cook log'!C2:C1000,A179)),"")</f>
        <v/>
      </c>
      <c r="D179">
        <f>IF(C179="","",TODAY()-C179)</f>
        <v/>
      </c>
      <c r="E179">
        <f>COUNTIF('Cook log'!C2:C1000,A179)</f>
        <v/>
      </c>
      <c r="F179" t="n">
        <v>28</v>
      </c>
      <c r="G179">
        <f>IF(C179="","Never cooked",IF(D179&lt;F179,"Cooldown","Due"))</f>
        <v/>
      </c>
      <c r="H179" t="inlineStr">
        <is>
          <t>Usually bought/frozen; reheat through</t>
        </is>
      </c>
    </row>
    <row r="180">
      <c r="A180" s="3" t="inlineStr">
        <is>
          <t>Braised meatballs in oyster sauce 蚝油焖肉丸</t>
        </is>
      </c>
      <c r="B180" s="3" t="inlineStr">
        <is>
          <t>Pork</t>
        </is>
      </c>
      <c r="F180" s="3" t="n">
        <v>21</v>
      </c>
      <c r="H180" s="3" t="inlineStr">
        <is>
          <t>recipes/braised-meatballs-oyster-sauce.md - prawn+pork meatballs, braised. Recipe serves 3-4. Clean: no tomato/sesame/mushroom/wine</t>
        </is>
      </c>
    </row>
    <row r="181">
      <c r="A181" s="3" t="inlineStr">
        <is>
          <t>Buta don 豚丼</t>
        </is>
      </c>
      <c r="B181" s="3" t="inlineStr">
        <is>
          <t>Rice</t>
        </is>
      </c>
      <c r="F181" s="3" t="n">
        <v>21</v>
      </c>
      <c r="H181" s="3" t="inlineStr">
        <is>
          <t>recipes/buta-don.md - recipe PRE-SCALED to 6.5 pax. 195ml sake + 195ml mirin; optional raw yolks MUST be omitted</t>
        </is>
      </c>
    </row>
    <row r="182">
      <c r="A182" s="3" t="inlineStr">
        <is>
          <t>Taiwanese beef noodle soup 红烧牛肉面</t>
        </is>
      </c>
      <c r="B182" s="3" t="inlineStr">
        <is>
          <t>Noodle</t>
        </is>
      </c>
      <c r="F182" s="3" t="n">
        <v>21</v>
      </c>
      <c r="H182" s="3" t="inlineStr">
        <is>
          <t>recipes/taiwanese-beef-noodle-soup.md - PRE-SCALED to 6.5 pax. Tomato + doubanjiang base; spicy, no child dish if served alone</t>
        </is>
      </c>
    </row>
    <row r="183">
      <c r="A183" s="3" t="inlineStr">
        <is>
          <t>Chicken parm sandwich</t>
        </is>
      </c>
      <c r="B183" s="3" t="inlineStr">
        <is>
          <t>Western</t>
        </is>
      </c>
      <c r="F183" s="3" t="n">
        <v>21</v>
      </c>
      <c r="H183" s="3" t="inlineStr">
        <is>
          <t>recipes/chicken-parm-sandwich.md - vodka sauce, tomato now OK. Chilli flakes marked optional - omit for child</t>
        </is>
      </c>
    </row>
    <row r="184">
      <c r="A184" s="3" t="inlineStr">
        <is>
          <t>Balinese braised beef</t>
        </is>
      </c>
      <c r="B184" s="3" t="inlineStr">
        <is>
          <t>Beef</t>
        </is>
      </c>
      <c r="F184" s="3" t="n">
        <v>28</v>
      </c>
      <c r="H184" s="3" t="inlineStr">
        <is>
          <t>recipes/balinese-braised-beef.md - mild chilli flakes 1/2 tsp; elaborate-ish braise</t>
        </is>
      </c>
    </row>
    <row r="185">
      <c r="A185" s="3" t="inlineStr">
        <is>
          <t>Curry fish head 咖喱鱼头</t>
        </is>
      </c>
      <c r="B185" s="3" t="inlineStr">
        <is>
          <t>Fish</t>
        </is>
      </c>
      <c r="F185" s="3" t="n">
        <v>21</v>
      </c>
      <c r="H185" s="3" t="inlineStr">
        <is>
          <t>recipes/curry-fish-head.md - using fish FILLET not head. Nyonya rempah, tomato+eggplant+long beans+okra. Never cooked</t>
        </is>
      </c>
    </row>
    <row r="186">
      <c r="A186" s="3" t="inlineStr">
        <is>
          <t>Braised duck (Ah Gong's recipe) 卤鸭</t>
        </is>
      </c>
      <c r="B186" s="3" t="inlineStr">
        <is>
          <t>Other</t>
        </is>
      </c>
      <c r="F186" s="3" t="n">
        <v>35</v>
      </c>
      <c r="H186" s="3" t="inlineStr">
        <is>
          <t>recipes/braised-duck-ah-gong-recipe.md - Fully confirmed via Ah Gong's own WhatsApp messages. Separate rotation entry so it doesn't collide with the Teochew version. Never cooked.</t>
        </is>
      </c>
    </row>
    <row r="187">
      <c r="A187" s="3" t="inlineStr">
        <is>
          <t>Pan-fried salmon</t>
        </is>
      </c>
      <c r="B187" s="3" t="inlineStr">
        <is>
          <t>Fish</t>
        </is>
      </c>
      <c r="F187" s="3" t="n">
        <v>21</v>
      </c>
      <c r="H187" s="3" t="inlineStr">
        <is>
          <t>Household - no recipe file; added 24 Sep. Fully cook through</t>
        </is>
      </c>
    </row>
    <row r="188">
      <c r="A188" s="3" t="inlineStr">
        <is>
          <t>Braised oxtail (Hainanese style)</t>
        </is>
      </c>
      <c r="B188" s="3" t="inlineStr">
        <is>
          <t>Beef</t>
        </is>
      </c>
      <c r="F188" s="3" t="n">
        <v>28</v>
      </c>
      <c r="H188" s="3" t="inlineStr">
        <is>
          <t>recipes/hainanese-oxtail-stew.md - Meatmen Channel; 2hr braise, oxtail floured+fried first. Serves 4-6 on 2kg. Never cooked</t>
        </is>
      </c>
    </row>
    <row r="189">
      <c r="A189" s="3" t="inlineStr">
        <is>
          <t>Braised oxtail (red wine)</t>
        </is>
      </c>
      <c r="B189" s="3" t="inlineStr">
        <is>
          <t>Beef</t>
        </is>
      </c>
      <c r="F189" s="3" t="n">
        <v>28</v>
      </c>
      <c r="H189" s="3" t="inlineStr">
        <is>
          <t>recipes/red-wine-braised-oxtail.md - West Country Kitchen; oven braise 4-5hr at 140-150C, served on mash. Serves 3-4, oxtail weight not stated. Never cooked</t>
        </is>
      </c>
    </row>
    <row r="190">
      <c r="A190" s="3" t="inlineStr">
        <is>
          <t>Hakka yam pork belly 芋头扣肉</t>
        </is>
      </c>
      <c r="B190" s="3" t="inlineStr">
        <is>
          <t>Pork</t>
        </is>
      </c>
      <c r="F190" s="3" t="n">
        <v>28</v>
      </c>
      <c r="H190" s="3" t="inlineStr">
        <is>
          <t>recipes/hakka-yam-pork-belly.md - PRE-SCALED to 5.5 pax (x0.8 from source 6-8); marinate 1hr, pan-fry, steam 1.5hr. Never cooked</t>
        </is>
      </c>
    </row>
    <row r="191">
      <c r="A191" s="3" t="inlineStr">
        <is>
          <t>Stir-fried eggs with Chinese sausage 腊肠炒蛋</t>
        </is>
      </c>
      <c r="B191" s="3" t="inlineStr">
        <is>
          <t>Egg</t>
        </is>
      </c>
      <c r="F191" s="3" t="n">
        <v>14</v>
      </c>
      <c r="H191" s="3" t="inlineStr">
        <is>
          <t>Household - no recipe file. Eggs cooked firm. Added 3 Oct</t>
        </is>
      </c>
    </row>
    <row r="192">
      <c r="A192" s="3" t="inlineStr">
        <is>
          <t>Japchae 잡채</t>
        </is>
      </c>
      <c r="B192" s="3" t="inlineStr">
        <is>
          <t>Noodle</t>
        </is>
      </c>
      <c r="F192" s="3" t="n">
        <v>21</v>
      </c>
      <c r="H192" s="3" t="inlineStr">
        <is>
          <t>recipes/japchae.md - PRE-SCALED to 5.5 pax (x1.6 from source 3-4). Side-dish portions: 80g beef. Never cooked</t>
        </is>
      </c>
    </row>
    <row r="193">
      <c r="A193" s="3" t="inlineStr">
        <is>
          <t>Beef hayashi rice</t>
        </is>
      </c>
      <c r="B193" s="3" t="inlineStr">
        <is>
          <t>Beef</t>
        </is>
      </c>
      <c r="F193" s="3" t="n">
        <v>28</v>
      </c>
      <c r="H193" s="3" t="inlineStr">
        <is>
          <t>recipes/hayashi-rice.md - 2h simmer, as written (~5-6 pax). Never cooked. Added 9 Oct 2026</t>
        </is>
      </c>
    </row>
    <row r="194">
      <c r="A194" s="3" t="inlineStr">
        <is>
          <t>Greek lemon chicken</t>
        </is>
      </c>
      <c r="B194" s="3" t="inlineStr">
        <is>
          <t>Chicken</t>
        </is>
      </c>
      <c r="F194" s="3" t="n">
        <v>21</v>
      </c>
      <c r="H194" s="3" t="inlineStr">
        <is>
          <t>recipes/greek-lemon-chicken.md - written for 8 bone-in thighs; made with 5 (marinade x0.6); own lemon rice and green beans not made. Never cooked</t>
        </is>
      </c>
    </row>
    <row r="195">
      <c r="A195" s="3" t="inlineStr">
        <is>
          <t>Black pepper beef</t>
        </is>
      </c>
      <c r="B195" s="3" t="inlineStr">
        <is>
          <t>Beef</t>
        </is>
      </c>
      <c r="F195" s="3" t="n">
        <v>21</v>
      </c>
      <c r="H195" s="3" t="inlineStr">
        <is>
          <t>recipes/black-pepper-beef.md - method inferred; 400g for 5 pax. Never cooked</t>
        </is>
      </c>
    </row>
    <row r="196">
      <c r="A196" s="3" t="inlineStr">
        <is>
          <t>Water steamed egg</t>
        </is>
      </c>
      <c r="B196" s="3" t="inlineStr">
        <is>
          <t>Egg</t>
        </is>
      </c>
      <c r="F196" s="3" t="n">
        <v>14</v>
      </c>
      <c r="H196" s="3" t="inlineStr">
        <is>
          <t>Plain, no meat. Ah Gong steamed egg mix (recipes/steamed-egg.md) without the pork; 5 eggs for 5 pax; steam until set</t>
        </is>
      </c>
    </row>
    <row r="197">
      <c r="A197" s="3" t="inlineStr">
        <is>
          <t>Stir fried French beans with dried shrimp</t>
        </is>
      </c>
      <c r="B197" s="3" t="inlineStr">
        <is>
          <t>Vegetable</t>
        </is>
      </c>
      <c r="F197" s="3" t="n">
        <v>21</v>
      </c>
      <c r="H197" s="3" t="inlineStr">
        <is>
          <t>recipes/zi-char-french-beans-with-dried-shrimp.md - as written (500g). Never cooked</t>
        </is>
      </c>
    </row>
    <row r="198">
      <c r="A198" s="3" t="inlineStr">
        <is>
          <t>Fragrant glutinous rice</t>
        </is>
      </c>
      <c r="B198" s="3" t="inlineStr">
        <is>
          <t>Rice</t>
        </is>
      </c>
      <c r="F198" s="3" t="n">
        <v>21</v>
      </c>
      <c r="H198" s="3" t="inlineStr">
        <is>
          <t>recipes/fragrant-glutinous-rice.md - household version (18 Oct 2026): + 300g pork belly, 2 sausages, wok then ordinary rice cooker, water 1:1, steam longer; soak 2h. Never cooked</t>
        </is>
      </c>
    </row>
    <row r="199">
      <c r="A199" s="3" t="inlineStr">
        <is>
          <t>Enoki with pork wrap</t>
        </is>
      </c>
      <c r="B199" s="3" t="inlineStr">
        <is>
          <t>Pork</t>
        </is>
      </c>
      <c r="F199" s="3" t="n">
        <v>21</v>
      </c>
      <c r="H199" s="3" t="inlineStr">
        <is>
          <t>recipes/enoki-mushroom-meat-roll.md - made with pork shabu slices, x2 (16 rolls). Enoki must be cooked soft and hot. Never cooked</t>
        </is>
      </c>
    </row>
  </sheetData>
  <autoFilter ref="A1:H71"/>
  <conditionalFormatting sqref="G2:G62">
    <cfRule type="cellIs" priority="1" operator="equal" dxfId="0">
      <formula>"Due"</formula>
    </cfRule>
    <cfRule type="cellIs" priority="2" operator="equal" dxfId="1">
      <formula>"Cooldown"</formula>
    </cfRule>
    <cfRule type="cellIs" priority="3" operator="equal" dxfId="2">
      <formula>"Never cooked"</formula>
    </cfRule>
  </conditionalFormatting>
  <conditionalFormatting sqref="G63:G67">
    <cfRule type="cellIs" priority="4" operator="equal" dxfId="0">
      <formula>"Due"</formula>
    </cfRule>
    <cfRule type="cellIs" priority="5" operator="equal" dxfId="1">
      <formula>"Cooldown"</formula>
    </cfRule>
    <cfRule type="cellIs" priority="6" operator="equal" dxfId="2">
      <formula>"Never cooked"</formula>
    </cfRule>
  </conditionalFormatting>
  <conditionalFormatting sqref="G68:G71">
    <cfRule type="cellIs" priority="7" operator="equal" dxfId="0">
      <formula>"Due"</formula>
    </cfRule>
    <cfRule type="cellIs" priority="8" operator="equal" dxfId="1">
      <formula>"Cooldown"</formula>
    </cfRule>
    <cfRule type="cellIs" priority="9" operator="equal" dxfId="2">
      <formula>"Never cooked"</formula>
    </cfRule>
  </conditionalFormatting>
  <dataValidations count="1">
    <dataValidation sqref="B2:B500" showDropDown="0" showInputMessage="0" showErrorMessage="0" allowBlank="1" type="list">
      <formula1>=Reference!$A$2:$A$14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7" t="inlineStr">
        <is>
          <t>Categories</t>
        </is>
      </c>
    </row>
    <row r="2">
      <c r="A2" t="inlineStr">
        <is>
          <t>Beef</t>
        </is>
      </c>
    </row>
    <row r="3">
      <c r="A3" t="inlineStr">
        <is>
          <t>Chicken</t>
        </is>
      </c>
    </row>
    <row r="4">
      <c r="A4" t="inlineStr">
        <is>
          <t>Egg</t>
        </is>
      </c>
    </row>
    <row r="5">
      <c r="A5" t="inlineStr">
        <is>
          <t>Fish</t>
        </is>
      </c>
    </row>
    <row r="6">
      <c r="A6" t="inlineStr">
        <is>
          <t>Noodle</t>
        </is>
      </c>
    </row>
    <row r="7">
      <c r="A7" t="inlineStr">
        <is>
          <t>Other</t>
        </is>
      </c>
    </row>
    <row r="8">
      <c r="A8" t="inlineStr">
        <is>
          <t>Pork</t>
        </is>
      </c>
    </row>
    <row r="9">
      <c r="A9" t="inlineStr">
        <is>
          <t>Prawn</t>
        </is>
      </c>
    </row>
    <row r="10">
      <c r="A10" t="inlineStr">
        <is>
          <t>Rice</t>
        </is>
      </c>
    </row>
    <row r="11">
      <c r="A11" t="inlineStr">
        <is>
          <t>Side</t>
        </is>
      </c>
    </row>
    <row r="12">
      <c r="A12" t="inlineStr">
        <is>
          <t>Soup</t>
        </is>
      </c>
    </row>
    <row r="13">
      <c r="A13" t="inlineStr">
        <is>
          <t>Vegetable</t>
        </is>
      </c>
    </row>
    <row r="14">
      <c r="A14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2026-05-10T13:44:45Z</dcterms:created>
  <dcterms:modified xmlns:dcterms="http://purl.org/dc/terms/" xmlns:xsi="http://www.w3.org/2001/XMLSchema-instance" xsi:type="dcterms:W3CDTF">2026-10-17T17:02:15Z</dcterms:modified>
</cp:coreProperties>
</file>