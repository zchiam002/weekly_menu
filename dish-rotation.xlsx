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>
        <v>46181</v>
      </c>
      <c r="B46" s="3">
        <f>IF(A46="","",TEXT(A46,"ddd"))</f>
        <v/>
      </c>
      <c r="C46" t="inlineStr">
        <is>
          <t>Prawn noodle soup</t>
        </is>
      </c>
      <c r="D46" t="inlineStr">
        <is>
          <t>planned (week of 8 Jun 2026)</t>
        </is>
      </c>
    </row>
    <row r="47">
      <c r="A47" s="2" t="n">
        <v>46182</v>
      </c>
      <c r="B47" s="3">
        <f>IF(A47="","",TEXT(A47,"ddd"))</f>
        <v/>
      </c>
      <c r="C47" t="inlineStr">
        <is>
          <t>Steamed pomfret</t>
        </is>
      </c>
      <c r="D47" t="inlineStr">
        <is>
          <t>planned (week of 8 Jun 2026)</t>
        </is>
      </c>
    </row>
    <row r="48">
      <c r="A48" s="2" t="n">
        <v>46182</v>
      </c>
      <c r="B48" s="3">
        <f>IF(A48="","",TEXT(A48,"ddd"))</f>
        <v/>
      </c>
      <c r="C48" t="inlineStr">
        <is>
          <t>Stir fried dou miao</t>
        </is>
      </c>
      <c r="D48" t="inlineStr">
        <is>
          <t>planned (week of 8 Jun 2026)</t>
        </is>
      </c>
    </row>
    <row r="49">
      <c r="A49" s="2" t="n">
        <v>46182</v>
      </c>
      <c r="B49" s="3">
        <f>IF(A49="","",TEXT(A49,"ddd"))</f>
        <v/>
      </c>
      <c r="C49" t="inlineStr">
        <is>
          <t>Tomato egg</t>
        </is>
      </c>
      <c r="D49" t="inlineStr">
        <is>
          <t>planned (week of 8 Jun 2026)</t>
        </is>
      </c>
    </row>
    <row r="50">
      <c r="A50" s="2" t="n">
        <v>46183</v>
      </c>
      <c r="B50" s="3">
        <f>IF(A50="","",TEXT(A50,"ddd"))</f>
        <v/>
      </c>
      <c r="C50" t="inlineStr">
        <is>
          <t>Baked salmon with herbs</t>
        </is>
      </c>
      <c r="D50" t="inlineStr">
        <is>
          <t>planned (week of 8 Jun 2026)</t>
        </is>
      </c>
    </row>
    <row r="51">
      <c r="A51" s="2" t="n">
        <v>46183</v>
      </c>
      <c r="B51" s="3">
        <f>IF(A51="","",TEXT(A51,"ddd"))</f>
        <v/>
      </c>
      <c r="C51" t="inlineStr">
        <is>
          <t>Roasted vegetables (oven)</t>
        </is>
      </c>
      <c r="D51" t="inlineStr">
        <is>
          <t>planned (week of 8 Jun 2026) — grilled veg</t>
        </is>
      </c>
    </row>
    <row r="52">
      <c r="A52" s="2" t="n">
        <v>46183</v>
      </c>
      <c r="B52" s="3">
        <f>IF(A52="","",TEXT(A52,"ddd"))</f>
        <v/>
      </c>
      <c r="C52" t="inlineStr">
        <is>
          <t>Mushroom soup</t>
        </is>
      </c>
      <c r="D52" t="inlineStr">
        <is>
          <t>planned (week of 8 Jun 2026)</t>
        </is>
      </c>
    </row>
    <row r="53">
      <c r="A53" s="2" t="n">
        <v>46183</v>
      </c>
      <c r="B53" s="3">
        <f>IF(A53="","",TEXT(A53,"ddd"))</f>
        <v/>
      </c>
      <c r="C53" t="inlineStr">
        <is>
          <t>Garlic bread</t>
        </is>
      </c>
      <c r="D53" t="inlineStr">
        <is>
          <t>planned (week of 8 Jun 2026)</t>
        </is>
      </c>
    </row>
    <row r="54">
      <c r="A54" s="2" t="n">
        <v>46184</v>
      </c>
      <c r="B54" s="3">
        <f>IF(A54="","",TEXT(A54,"ddd"))</f>
        <v/>
      </c>
      <c r="C54" t="inlineStr">
        <is>
          <t>Stir-fry beef ramen</t>
        </is>
      </c>
      <c r="D54" t="inlineStr">
        <is>
          <t>planned (week of 8 Jun 2026)</t>
        </is>
      </c>
    </row>
    <row r="55">
      <c r="A55" s="2" t="n">
        <v>46184</v>
      </c>
      <c r="B55" s="3">
        <f>IF(A55="","",TEXT(A55,"ddd"))</f>
        <v/>
      </c>
      <c r="C55" t="inlineStr">
        <is>
          <t>Radish pork rib soup with dates</t>
        </is>
      </c>
      <c r="D55" t="inlineStr">
        <is>
          <t>planned (week of 8 Jun 2026)</t>
        </is>
      </c>
    </row>
    <row r="56">
      <c r="A56" s="2" t="n">
        <v>46185</v>
      </c>
      <c r="B56" s="3">
        <f>IF(A56="","",TEXT(A56,"ddd"))</f>
        <v/>
      </c>
      <c r="C56" t="inlineStr">
        <is>
          <t>HK steamed chicken rice</t>
        </is>
      </c>
      <c r="D56" t="inlineStr">
        <is>
          <t>planned (week of 8 Jun 2026)</t>
        </is>
      </c>
    </row>
    <row r="57">
      <c r="A57" s="2" t="n">
        <v>46188</v>
      </c>
      <c r="B57" s="3">
        <f>IF(A57="","",TEXT(A57,"ddd"))</f>
        <v/>
      </c>
      <c r="C57" t="inlineStr">
        <is>
          <t>Claypot Mee Tai Bak</t>
        </is>
      </c>
      <c r="D57" t="inlineStr">
        <is>
          <t>planned (week of 15 Jun 2026)</t>
        </is>
      </c>
    </row>
    <row r="58">
      <c r="A58" s="2" t="n">
        <v>46189</v>
      </c>
      <c r="B58" s="3">
        <f>IF(A58="","",TEXT(A58,"ddd"))</f>
        <v/>
      </c>
      <c r="C58" t="inlineStr">
        <is>
          <t>Fried threadfin with onion</t>
        </is>
      </c>
      <c r="D58" t="inlineStr">
        <is>
          <t>planned (week of 15 Jun 2026)</t>
        </is>
      </c>
    </row>
    <row r="59">
      <c r="A59" s="2" t="n">
        <v>46189</v>
      </c>
      <c r="B59" s="3">
        <f>IF(A59="","",TEXT(A59,"ddd"))</f>
        <v/>
      </c>
      <c r="C59" t="inlineStr">
        <is>
          <t>Stir-fried eggs and prawns</t>
        </is>
      </c>
      <c r="D59" t="inlineStr">
        <is>
          <t>planned (week of 15 Jun 2026)</t>
        </is>
      </c>
    </row>
    <row r="60">
      <c r="A60" s="2" t="n">
        <v>46189</v>
      </c>
      <c r="B60" s="3">
        <f>IF(A60="","",TEXT(A60,"ddd"))</f>
        <v/>
      </c>
      <c r="C60" t="inlineStr">
        <is>
          <t>Hainanese chap chye</t>
        </is>
      </c>
      <c r="D60" t="inlineStr">
        <is>
          <t>planned (week of 15 Jun 2026)</t>
        </is>
      </c>
    </row>
    <row r="61">
      <c r="A61" s="2" t="n">
        <v>46190</v>
      </c>
      <c r="B61" s="3">
        <f>IF(A61="","",TEXT(A61,"ddd"))</f>
        <v/>
      </c>
      <c r="C61" t="inlineStr">
        <is>
          <t>Shimeji spinach tofu</t>
        </is>
      </c>
      <c r="D61" t="inlineStr">
        <is>
          <t>planned (week of 15 Jun 2026)</t>
        </is>
      </c>
    </row>
    <row r="62">
      <c r="A62" s="2" t="n">
        <v>46191</v>
      </c>
      <c r="B62" s="3">
        <f>IF(A62="","",TEXT(A62,"ddd"))</f>
        <v/>
      </c>
      <c r="C62" t="inlineStr">
        <is>
          <t>Taiwanese fried rice</t>
        </is>
      </c>
      <c r="D62" t="inlineStr">
        <is>
          <t>planned (week of 15 Jun 2026)</t>
        </is>
      </c>
    </row>
    <row r="63">
      <c r="A63" s="2" t="n">
        <v>46191</v>
      </c>
      <c r="B63" s="3">
        <f>IF(A63="","",TEXT(A63,"ddd"))</f>
        <v/>
      </c>
      <c r="C63" t="inlineStr">
        <is>
          <t>Tonjiru</t>
        </is>
      </c>
      <c r="D63" t="inlineStr">
        <is>
          <t>planned (week of 15 Jun 2026)</t>
        </is>
      </c>
    </row>
    <row r="64">
      <c r="A64" s="2" t="n">
        <v>46192</v>
      </c>
      <c r="B64" s="3">
        <f>IF(A64="","",TEXT(A64,"ddd"))</f>
        <v/>
      </c>
      <c r="C64" t="inlineStr">
        <is>
          <t>Chicken chop &amp; mushroom noodles</t>
        </is>
      </c>
      <c r="D64" t="inlineStr">
        <is>
          <t>planned (week of 15 Jun 2026)</t>
        </is>
      </c>
    </row>
    <row r="65">
      <c r="A65" s="2" t="n">
        <v>46188</v>
      </c>
      <c r="B65" s="3">
        <f>IF(A65="","",TEXT(A65,"ddd"))</f>
        <v/>
      </c>
      <c r="C65" t="inlineStr">
        <is>
          <t>Watercress pork rib soup</t>
        </is>
      </c>
      <c r="D65" t="inlineStr">
        <is>
          <t>planned (week of 15 Jun 2026)</t>
        </is>
      </c>
    </row>
    <row r="66">
      <c r="A66" s="2" t="n">
        <v>46190</v>
      </c>
      <c r="B66" s="3">
        <f>IF(A66="","",TEXT(A66,"ddd"))</f>
        <v/>
      </c>
      <c r="C66" t="inlineStr">
        <is>
          <t>Stir-fried eggplant and long bean with dried shrimp</t>
        </is>
      </c>
      <c r="D66" t="inlineStr">
        <is>
          <t>planned (week of 15 Jun 2026)</t>
        </is>
      </c>
    </row>
    <row r="67">
      <c r="A67" s="2" t="n">
        <v>46190</v>
      </c>
      <c r="B67" s="3">
        <f>IF(A67="","",TEXT(A67,"ddd"))</f>
        <v/>
      </c>
      <c r="C67" t="inlineStr">
        <is>
          <t>Spring onion beef stir fry</t>
        </is>
      </c>
      <c r="D67" t="inlineStr">
        <is>
          <t>planned (week of 15 Jun 2026)</t>
        </is>
      </c>
    </row>
    <row r="68">
      <c r="A68" s="2" t="n">
        <v>46194</v>
      </c>
      <c r="B68" s="3">
        <f>IF(A68="","",TEXT(A68,"ddd"))</f>
        <v/>
      </c>
      <c r="C68" t="inlineStr">
        <is>
          <t>Minestrone soup</t>
        </is>
      </c>
      <c r="D68" t="inlineStr">
        <is>
          <t>planned (week of 22 Jun 2026)</t>
        </is>
      </c>
    </row>
    <row r="69">
      <c r="A69" s="2" t="n">
        <v>46195</v>
      </c>
      <c r="B69" s="3">
        <f>IF(A69="","",TEXT(A69,"ddd"))</f>
        <v/>
      </c>
      <c r="C69" t="inlineStr">
        <is>
          <t>Chinese yam and chicken soup</t>
        </is>
      </c>
      <c r="D69" t="inlineStr">
        <is>
          <t>planned (week of 22 Jun 2026)</t>
        </is>
      </c>
    </row>
    <row r="70">
      <c r="A70" s="2" t="n">
        <v>46195</v>
      </c>
      <c r="B70" s="3">
        <f>IF(A70="","",TEXT(A70,"ddd"))</f>
        <v/>
      </c>
      <c r="C70" t="inlineStr">
        <is>
          <t>Pork rib king</t>
        </is>
      </c>
      <c r="D70" t="inlineStr">
        <is>
          <t>planned (week of 22 Jun 2026)</t>
        </is>
      </c>
    </row>
    <row r="71">
      <c r="A71" s="2" t="n">
        <v>46195</v>
      </c>
      <c r="B71" s="3">
        <f>IF(A71="","",TEXT(A71,"ddd"))</f>
        <v/>
      </c>
      <c r="C71" t="inlineStr">
        <is>
          <t>Stir fried vegetable</t>
        </is>
      </c>
      <c r="D71" t="inlineStr">
        <is>
          <t>planned (week of 22 Jun 2026)</t>
        </is>
      </c>
    </row>
    <row r="72">
      <c r="A72" s="2" t="n">
        <v>46196</v>
      </c>
      <c r="B72" s="3">
        <f>IF(A72="","",TEXT(A72,"ddd"))</f>
        <v/>
      </c>
      <c r="C72" t="inlineStr">
        <is>
          <t>Korean fried chicken wings</t>
        </is>
      </c>
      <c r="D72" t="inlineStr">
        <is>
          <t>planned (week of 22 Jun 2026) — soy</t>
        </is>
      </c>
    </row>
    <row r="73">
      <c r="A73" s="2" t="n">
        <v>46196</v>
      </c>
      <c r="B73" s="3">
        <f>IF(A73="","",TEXT(A73,"ddd"))</f>
        <v/>
      </c>
      <c r="C73" t="inlineStr">
        <is>
          <t>Tomato egg</t>
        </is>
      </c>
      <c r="D73" t="inlineStr">
        <is>
          <t>planned (week of 22 Jun 2026)</t>
        </is>
      </c>
    </row>
    <row r="74">
      <c r="A74" s="2" t="n">
        <v>46196</v>
      </c>
      <c r="B74" s="3">
        <f>IF(A74="","",TEXT(A74,"ddd"))</f>
        <v/>
      </c>
      <c r="C74" t="inlineStr">
        <is>
          <t>Lotus root pork rib soup</t>
        </is>
      </c>
      <c r="D74" t="inlineStr">
        <is>
          <t>planned (week of 22 Jun 2026)</t>
        </is>
      </c>
    </row>
    <row r="75">
      <c r="A75" s="2" t="n">
        <v>46197</v>
      </c>
      <c r="B75" s="3">
        <f>IF(A75="","",TEXT(A75,"ddd"))</f>
        <v/>
      </c>
      <c r="C75" t="inlineStr">
        <is>
          <t>Stir fried bee hoon</t>
        </is>
      </c>
      <c r="D75" t="inlineStr">
        <is>
          <t>planned (week of 22 Jun 2026) — Sin Chew style</t>
        </is>
      </c>
    </row>
    <row r="76">
      <c r="A76" s="2" t="n">
        <v>46197</v>
      </c>
      <c r="B76" s="3">
        <f>IF(A76="","",TEXT(A76,"ddd"))</f>
        <v/>
      </c>
      <c r="C76" t="inlineStr">
        <is>
          <t>Fishball and baby spinach soup</t>
        </is>
      </c>
      <c r="D76" t="inlineStr">
        <is>
          <t>planned (week of 22 Jun 2026)</t>
        </is>
      </c>
    </row>
    <row r="77">
      <c r="A77" s="2" t="n">
        <v>46198</v>
      </c>
      <c r="B77" s="3">
        <f>IF(A77="","",TEXT(A77,"ddd"))</f>
        <v/>
      </c>
      <c r="C77" t="inlineStr">
        <is>
          <t>Stir-fried potatoes &amp; carrots with minced meat</t>
        </is>
      </c>
      <c r="D77" t="inlineStr">
        <is>
          <t>planned (week of 22 Jun 2026) — + tomato</t>
        </is>
      </c>
    </row>
    <row r="78">
      <c r="A78" s="2" t="n">
        <v>46198</v>
      </c>
      <c r="B78" s="3">
        <f>IF(A78="","",TEXT(A78,"ddd"))</f>
        <v/>
      </c>
      <c r="C78" t="inlineStr">
        <is>
          <t>Fried fish with Thai sweet chilli</t>
        </is>
      </c>
      <c r="D78" t="inlineStr">
        <is>
          <t>planned (week of 22 Jun 2026)</t>
        </is>
      </c>
    </row>
    <row r="79">
      <c r="A79" s="2" t="n">
        <v>46198</v>
      </c>
      <c r="B79" s="3">
        <f>IF(A79="","",TEXT(A79,"ddd"))</f>
        <v/>
      </c>
      <c r="C79" t="inlineStr">
        <is>
          <t>Steamed egg (ah gong style)</t>
        </is>
      </c>
      <c r="D79" t="inlineStr">
        <is>
          <t>planned (week of 22 Jun 2026)</t>
        </is>
      </c>
    </row>
    <row r="80">
      <c r="A80" s="2" t="n">
        <v>46199</v>
      </c>
      <c r="B80" s="3">
        <f>IF(A80="","",TEXT(A80,"ddd"))</f>
        <v/>
      </c>
      <c r="C80" t="inlineStr">
        <is>
          <t>HK baked pork chop rice</t>
        </is>
      </c>
      <c r="D80" t="inlineStr">
        <is>
          <t>planned (week of 22 Jun 2026)</t>
        </is>
      </c>
    </row>
    <row r="81">
      <c r="A81" s="2" t="n">
        <v>46201</v>
      </c>
      <c r="B81" s="3">
        <f>IF(A81="","",TEXT(A81,"ddd"))</f>
        <v/>
      </c>
      <c r="C81" t="inlineStr">
        <is>
          <t>Shepherd's pie</t>
        </is>
      </c>
      <c r="D81" t="inlineStr">
        <is>
          <t>planned (week of 29 Jun 2026) — beef mince, 2 pax</t>
        </is>
      </c>
    </row>
    <row r="82">
      <c r="A82" s="2" t="n">
        <v>46202</v>
      </c>
      <c r="B82" s="3">
        <f>IF(A82="","",TEXT(A82,"ddd"))</f>
        <v/>
      </c>
      <c r="C82" t="inlineStr">
        <is>
          <t>Potato gratin</t>
        </is>
      </c>
      <c r="D82" t="inlineStr">
        <is>
          <t>planned (week of 29 Jun 2026) — au gratin</t>
        </is>
      </c>
    </row>
    <row r="83">
      <c r="A83" s="2" t="n">
        <v>46202</v>
      </c>
      <c r="B83" s="3">
        <f>IF(A83="","",TEXT(A83,"ddd"))</f>
        <v/>
      </c>
      <c r="C83" t="inlineStr">
        <is>
          <t>Oven baked chicken leg</t>
        </is>
      </c>
      <c r="D83" t="inlineStr">
        <is>
          <t>planned (week of 29 Jun 2026)</t>
        </is>
      </c>
    </row>
    <row r="84">
      <c r="A84" s="2" t="n">
        <v>46202</v>
      </c>
      <c r="B84" s="3">
        <f>IF(A84="","",TEXT(A84,"ddd"))</f>
        <v/>
      </c>
      <c r="C84" t="inlineStr">
        <is>
          <t>Grilled asparagus</t>
        </is>
      </c>
      <c r="D84" t="inlineStr">
        <is>
          <t>planned (week of 29 Jun 2026)</t>
        </is>
      </c>
    </row>
    <row r="85">
      <c r="A85" s="2" t="n">
        <v>46203</v>
      </c>
      <c r="B85" s="3">
        <f>IF(A85="","",TEXT(A85,"ddd"))</f>
        <v/>
      </c>
      <c r="C85" t="inlineStr">
        <is>
          <t>Baked potatoes</t>
        </is>
      </c>
      <c r="D85" t="inlineStr">
        <is>
          <t>planned (week of 29 Jun 2026)</t>
        </is>
      </c>
    </row>
    <row r="86">
      <c r="A86" s="2" t="n">
        <v>46203</v>
      </c>
      <c r="B86" s="3">
        <f>IF(A86="","",TEXT(A86,"ddd"))</f>
        <v/>
      </c>
      <c r="C86" t="inlineStr">
        <is>
          <t>Chicken chop</t>
        </is>
      </c>
      <c r="D86" t="inlineStr">
        <is>
          <t>planned (week of 29 Jun 2026)</t>
        </is>
      </c>
    </row>
    <row r="87">
      <c r="A87" s="2" t="n">
        <v>46203</v>
      </c>
      <c r="B87" s="3">
        <f>IF(A87="","",TEXT(A87,"ddd"))</f>
        <v/>
      </c>
      <c r="C87" t="inlineStr">
        <is>
          <t>Roasted vegetables (oven)</t>
        </is>
      </c>
      <c r="D87" t="inlineStr">
        <is>
          <t>planned (week of 29 Jun 2026)</t>
        </is>
      </c>
    </row>
    <row r="88">
      <c r="A88" s="2" t="n">
        <v>46204</v>
      </c>
      <c r="B88" s="3">
        <f>IF(A88="","",TEXT(A88,"ddd"))</f>
        <v/>
      </c>
      <c r="C88" t="inlineStr">
        <is>
          <t>Japanese curry rice</t>
        </is>
      </c>
      <c r="D88" t="inlineStr">
        <is>
          <t>planned (week of 29 Jun 2026) — curry cubes</t>
        </is>
      </c>
    </row>
    <row r="89">
      <c r="A89" s="2" t="n">
        <v>46204</v>
      </c>
      <c r="B89" s="3">
        <f>IF(A89="","",TEXT(A89,"ddd"))</f>
        <v/>
      </c>
      <c r="C89" t="inlineStr">
        <is>
          <t>Campbell's mushroom soup</t>
        </is>
      </c>
      <c r="D89" t="inlineStr">
        <is>
          <t>planned (week of 29 Jun 2026)</t>
        </is>
      </c>
    </row>
    <row r="90">
      <c r="A90" s="2" t="n">
        <v>46205</v>
      </c>
      <c r="B90" s="3">
        <f>IF(A90="","",TEXT(A90,"ddd"))</f>
        <v/>
      </c>
      <c r="C90" t="inlineStr">
        <is>
          <t>Radish pork rib soup with dates</t>
        </is>
      </c>
      <c r="D90" t="inlineStr">
        <is>
          <t>planned (week of 29 Jun 2026)</t>
        </is>
      </c>
    </row>
    <row r="91">
      <c r="A91" s="2" t="n">
        <v>46205</v>
      </c>
      <c r="B91" s="3">
        <f>IF(A91="","",TEXT(A91,"ddd"))</f>
        <v/>
      </c>
      <c r="C91" t="inlineStr">
        <is>
          <t>Stir-fried potatoes &amp; carrots with minced meat</t>
        </is>
      </c>
      <c r="D91" t="inlineStr">
        <is>
          <t>planned (week of 29 Jun 2026) — + tomato</t>
        </is>
      </c>
    </row>
    <row r="92">
      <c r="A92" s="2" t="n">
        <v>46205</v>
      </c>
      <c r="B92" s="3">
        <f>IF(A92="","",TEXT(A92,"ddd"))</f>
        <v/>
      </c>
      <c r="C92" t="inlineStr">
        <is>
          <t>Egg omelette</t>
        </is>
      </c>
      <c r="D92" t="inlineStr">
        <is>
          <t>planned (week of 29 Jun 2026) — onion</t>
        </is>
      </c>
    </row>
    <row r="93">
      <c r="A93" s="2" t="n">
        <v>46206</v>
      </c>
      <c r="B93" s="3">
        <f>IF(A93="","",TEXT(A93,"ddd"))</f>
        <v/>
      </c>
      <c r="C93" t="inlineStr">
        <is>
          <t>Crispy roast potatoes</t>
        </is>
      </c>
      <c r="D93" t="inlineStr">
        <is>
          <t>planned (week of 29 Jun 2026)</t>
        </is>
      </c>
    </row>
    <row r="94">
      <c r="A94" s="2" t="n">
        <v>46206</v>
      </c>
      <c r="B94" s="3">
        <f>IF(A94="","",TEXT(A94,"ddd"))</f>
        <v/>
      </c>
      <c r="C94" t="inlineStr">
        <is>
          <t>Baked pork chops</t>
        </is>
      </c>
      <c r="D94" t="inlineStr">
        <is>
          <t>planned (week of 29 Jun 2026)</t>
        </is>
      </c>
    </row>
    <row r="95">
      <c r="A95" s="2" t="n">
        <v>46206</v>
      </c>
      <c r="B95" s="3">
        <f>IF(A95="","",TEXT(A95,"ddd"))</f>
        <v/>
      </c>
      <c r="C95" t="inlineStr">
        <is>
          <t>Grilled broccoli &amp; carrots</t>
        </is>
      </c>
      <c r="D95" t="inlineStr">
        <is>
          <t>planned (week of 29 Jun 2026)</t>
        </is>
      </c>
    </row>
    <row r="96">
      <c r="A96" s="2" t="n">
        <v>46208</v>
      </c>
      <c r="B96" s="3">
        <f>IF(A96="","",TEXT(A96,"ddd"))</f>
        <v/>
      </c>
      <c r="C96" t="inlineStr">
        <is>
          <t>Pasta arrabbiata</t>
        </is>
      </c>
      <c r="D96" t="inlineStr">
        <is>
          <t>planned (week of 6 Jul 2026)</t>
        </is>
      </c>
    </row>
    <row r="97">
      <c r="A97" s="2" t="n">
        <v>46209</v>
      </c>
      <c r="B97" s="3">
        <f>IF(A97="","",TEXT(A97,"ddd"))</f>
        <v/>
      </c>
      <c r="C97" t="inlineStr">
        <is>
          <t>Pulled pork burger</t>
        </is>
      </c>
      <c r="D97" t="inlineStr">
        <is>
          <t>planned (week of 6 Jul 2026)</t>
        </is>
      </c>
    </row>
    <row r="98">
      <c r="A98" s="2" t="n">
        <v>46209</v>
      </c>
      <c r="B98" s="3">
        <f>IF(A98="","",TEXT(A98,"ddd"))</f>
        <v/>
      </c>
      <c r="C98" t="inlineStr">
        <is>
          <t>Spanish omelette</t>
        </is>
      </c>
      <c r="D98" t="inlineStr">
        <is>
          <t>planned (week of 6 Jul 2026)</t>
        </is>
      </c>
    </row>
    <row r="99">
      <c r="A99" s="2" t="n">
        <v>46210</v>
      </c>
      <c r="B99" s="3">
        <f>IF(A99="","",TEXT(A99,"ddd"))</f>
        <v/>
      </c>
      <c r="C99" t="inlineStr">
        <is>
          <t>Watercress pork rib soup</t>
        </is>
      </c>
      <c r="D99" t="inlineStr">
        <is>
          <t>planned (week of 6 Jul 2026)</t>
        </is>
      </c>
    </row>
    <row r="100">
      <c r="A100" s="2" t="n">
        <v>46210</v>
      </c>
      <c r="B100" s="3">
        <f>IF(A100="","",TEXT(A100,"ddd"))</f>
        <v/>
      </c>
      <c r="C100" t="inlineStr">
        <is>
          <t>Braised pork with tofu and egg (Tau Yu Bak)</t>
        </is>
      </c>
      <c r="D100" t="inlineStr">
        <is>
          <t>planned (week of 6 Jul 2026)</t>
        </is>
      </c>
    </row>
    <row r="101">
      <c r="A101" s="2" t="n">
        <v>46210</v>
      </c>
      <c r="B101" s="3">
        <f>IF(A101="","",TEXT(A101,"ddd"))</f>
        <v/>
      </c>
      <c r="C101" t="inlineStr">
        <is>
          <t>Steamed pomfret</t>
        </is>
      </c>
      <c r="D101" t="inlineStr">
        <is>
          <t>planned (week of 6 Jul 2026)</t>
        </is>
      </c>
    </row>
    <row r="102">
      <c r="A102" s="2" t="n">
        <v>46211</v>
      </c>
      <c r="B102" s="3">
        <f>IF(A102="","",TEXT(A102,"ddd"))</f>
        <v/>
      </c>
      <c r="C102" t="inlineStr">
        <is>
          <t>Frozen prata</t>
        </is>
      </c>
      <c r="D102" t="inlineStr">
        <is>
          <t>planned (week of 6 Jul 2026)</t>
        </is>
      </c>
    </row>
    <row r="103">
      <c r="A103" s="2" t="n">
        <v>46211</v>
      </c>
      <c r="B103" s="3">
        <f>IF(A103="","",TEXT(A103,"ddd"))</f>
        <v/>
      </c>
      <c r="C103" t="inlineStr">
        <is>
          <t>Padang chicken curry</t>
        </is>
      </c>
      <c r="D103" t="inlineStr">
        <is>
          <t>planned (week of 6 Jul 2026)</t>
        </is>
      </c>
    </row>
    <row r="104">
      <c r="A104" s="2" t="n">
        <v>46212</v>
      </c>
      <c r="B104" s="3">
        <f>IF(A104="","",TEXT(A104,"ddd"))</f>
        <v/>
      </c>
      <c r="C104" t="inlineStr">
        <is>
          <t>Nasi lemak</t>
        </is>
      </c>
      <c r="D104" t="inlineStr">
        <is>
          <t>planned (week of 6 Jul 2026)</t>
        </is>
      </c>
    </row>
    <row r="105">
      <c r="A105" s="2" t="n">
        <v>46212</v>
      </c>
      <c r="B105" s="3">
        <f>IF(A105="","",TEXT(A105,"ddd"))</f>
        <v/>
      </c>
      <c r="C105" t="inlineStr">
        <is>
          <t>Fried chicken wings</t>
        </is>
      </c>
      <c r="D105" t="inlineStr">
        <is>
          <t>planned (week of 6 Jul 2026)</t>
        </is>
      </c>
    </row>
    <row r="106">
      <c r="A106" s="2" t="n">
        <v>46212</v>
      </c>
      <c r="B106" s="3">
        <f>IF(A106="","",TEXT(A106,"ddd"))</f>
        <v/>
      </c>
      <c r="C106" t="inlineStr">
        <is>
          <t>Egg omelette</t>
        </is>
      </c>
      <c r="D106" t="inlineStr">
        <is>
          <t>planned (week of 6 Jul 2026)</t>
        </is>
      </c>
    </row>
    <row r="107">
      <c r="A107" s="2" t="n">
        <v>46212</v>
      </c>
      <c r="B107" s="3">
        <f>IF(A107="","",TEXT(A107,"ddd"))</f>
        <v/>
      </c>
      <c r="C107" t="inlineStr">
        <is>
          <t>Sambal long beans</t>
        </is>
      </c>
      <c r="D107" t="inlineStr">
        <is>
          <t>planned (week of 6 Jul 2026) — sambal kangkong recipe w/ long beans</t>
        </is>
      </c>
    </row>
    <row r="108">
      <c r="A108" s="2" t="n">
        <v>46212</v>
      </c>
      <c r="B108" s="3">
        <f>IF(A108="","",TEXT(A108,"ddd"))</f>
        <v/>
      </c>
      <c r="C108" t="inlineStr">
        <is>
          <t>Begedil</t>
        </is>
      </c>
      <c r="D108" t="inlineStr">
        <is>
          <t>planned (week of 6 Jul 2026)</t>
        </is>
      </c>
    </row>
    <row r="109">
      <c r="A109" s="2" t="n">
        <v>46213</v>
      </c>
      <c r="B109" s="3">
        <f>IF(A109="","",TEXT(A109,"ddd"))</f>
        <v/>
      </c>
      <c r="C109" t="inlineStr">
        <is>
          <t>Grilled cheese</t>
        </is>
      </c>
      <c r="D109" t="inlineStr">
        <is>
          <t>planned (week of 6 Jul 2026)</t>
        </is>
      </c>
    </row>
    <row r="110">
      <c r="A110" s="2" t="n">
        <v>46213</v>
      </c>
      <c r="B110" s="3">
        <f>IF(A110="","",TEXT(A110,"ddd"))</f>
        <v/>
      </c>
      <c r="C110" t="inlineStr">
        <is>
          <t>Tomato soup</t>
        </is>
      </c>
      <c r="D110" t="inlineStr">
        <is>
          <t>planned (week of 6 Jul 2026)</t>
        </is>
      </c>
    </row>
    <row r="111">
      <c r="A111" s="2" t="n">
        <v>46213</v>
      </c>
      <c r="B111" s="3">
        <f>IF(A111="","",TEXT(A111,"ddd"))</f>
        <v/>
      </c>
      <c r="C111" t="inlineStr">
        <is>
          <t>Fries</t>
        </is>
      </c>
      <c r="D111" t="inlineStr">
        <is>
          <t>planned (week of 6 Jul 2026)</t>
        </is>
      </c>
    </row>
    <row r="112">
      <c r="A112" s="2" t="n">
        <v>46216</v>
      </c>
      <c r="B112" s="3">
        <f>IF(A112="","",TEXT(A112,"ddd"))</f>
        <v/>
      </c>
      <c r="C112" t="inlineStr">
        <is>
          <t>Dry laksa</t>
        </is>
      </c>
      <c r="D112" t="inlineStr">
        <is>
          <t>planned (week of 13 Jul 2026)</t>
        </is>
      </c>
    </row>
    <row r="113">
      <c r="A113" s="2" t="n">
        <v>46216</v>
      </c>
      <c r="B113" s="3">
        <f>IF(A113="","",TEXT(A113,"ddd"))</f>
        <v/>
      </c>
      <c r="C113" t="inlineStr">
        <is>
          <t>Fishball minced pork soup</t>
        </is>
      </c>
      <c r="D113" t="inlineStr">
        <is>
          <t>planned (week of 13 Jul 2026)</t>
        </is>
      </c>
    </row>
    <row r="114">
      <c r="A114" s="2" t="n">
        <v>46217</v>
      </c>
      <c r="B114" s="3">
        <f>IF(A114="","",TEXT(A114,"ddd"))</f>
        <v/>
      </c>
      <c r="C114" t="inlineStr">
        <is>
          <t>Japanese hamburg patty</t>
        </is>
      </c>
      <c r="D114" t="inlineStr">
        <is>
          <t>planned (week of 13 Jul 2026)</t>
        </is>
      </c>
    </row>
    <row r="115">
      <c r="A115" s="2" t="n">
        <v>46217</v>
      </c>
      <c r="B115" s="3">
        <f>IF(A115="","",TEXT(A115,"ddd"))</f>
        <v/>
      </c>
      <c r="C115" t="inlineStr">
        <is>
          <t>Steamed rice</t>
        </is>
      </c>
      <c r="D115" t="inlineStr">
        <is>
          <t>planned (week of 13 Jul 2026)</t>
        </is>
      </c>
    </row>
    <row r="116">
      <c r="A116" s="2" t="n">
        <v>46217</v>
      </c>
      <c r="B116" s="3">
        <f>IF(A116="","",TEXT(A116,"ddd"))</f>
        <v/>
      </c>
      <c r="C116" t="inlineStr">
        <is>
          <t>Stir fried dou miao</t>
        </is>
      </c>
      <c r="D116" t="inlineStr">
        <is>
          <t>planned (week of 13 Jul 2026)</t>
        </is>
      </c>
    </row>
    <row r="117">
      <c r="A117" s="2" t="n">
        <v>46218</v>
      </c>
      <c r="B117" s="3">
        <f>IF(A117="","",TEXT(A117,"ddd"))</f>
        <v/>
      </c>
      <c r="C117" t="inlineStr">
        <is>
          <t>Macau Portuguese chicken rice</t>
        </is>
      </c>
      <c r="D117" t="inlineStr">
        <is>
          <t>planned (week of 13 Jul 2026)</t>
        </is>
      </c>
    </row>
    <row r="118">
      <c r="A118" s="2" t="n">
        <v>46218</v>
      </c>
      <c r="B118" s="3">
        <f>IF(A118="","",TEXT(A118,"ddd"))</f>
        <v/>
      </c>
      <c r="C118" t="inlineStr">
        <is>
          <t>ABC soup</t>
        </is>
      </c>
      <c r="D118" t="inlineStr">
        <is>
          <t>planned (week of 13 Jul 2026)</t>
        </is>
      </c>
    </row>
    <row r="119">
      <c r="A119" s="2" t="n">
        <v>46219</v>
      </c>
      <c r="B119" s="3">
        <f>IF(A119="","",TEXT(A119,"ddd"))</f>
        <v/>
      </c>
      <c r="C119" t="inlineStr">
        <is>
          <t>Bread</t>
        </is>
      </c>
      <c r="D119" t="inlineStr">
        <is>
          <t>planned (week of 13 Jul 2026) — with curry</t>
        </is>
      </c>
    </row>
    <row r="120">
      <c r="A120" s="2" t="n">
        <v>46219</v>
      </c>
      <c r="B120" s="3">
        <f>IF(A120="","",TEXT(A120,"ddd"))</f>
        <v/>
      </c>
      <c r="C120" t="inlineStr">
        <is>
          <t>Chicken curry</t>
        </is>
      </c>
      <c r="D120" t="inlineStr">
        <is>
          <t>planned (week of 13 Jul 2026)</t>
        </is>
      </c>
    </row>
    <row r="121">
      <c r="A121" s="2" t="n">
        <v>46220</v>
      </c>
      <c r="B121" s="3">
        <f>IF(A121="","",TEXT(A121,"ddd"))</f>
        <v/>
      </c>
      <c r="C121" t="inlineStr">
        <is>
          <t>Baby back ribs</t>
        </is>
      </c>
      <c r="D121" t="inlineStr">
        <is>
          <t>planned (week of 13 Jul 2026)</t>
        </is>
      </c>
    </row>
    <row r="122">
      <c r="A122" s="2" t="n">
        <v>46220</v>
      </c>
      <c r="B122" s="3">
        <f>IF(A122="","",TEXT(A122,"ddd"))</f>
        <v/>
      </c>
      <c r="C122" t="inlineStr">
        <is>
          <t>Cornbread</t>
        </is>
      </c>
      <c r="D122" t="inlineStr">
        <is>
          <t>planned (week of 13 Jul 2026)</t>
        </is>
      </c>
    </row>
    <row r="123">
      <c r="A123" s="2" t="n">
        <v>46220</v>
      </c>
      <c r="B123" s="3">
        <f>IF(A123="","",TEXT(A123,"ddd"))</f>
        <v/>
      </c>
      <c r="C123" t="inlineStr">
        <is>
          <t>Creamed spinach</t>
        </is>
      </c>
      <c r="D123" t="inlineStr">
        <is>
          <t>planned (week of 13 Jul 2026)</t>
        </is>
      </c>
    </row>
    <row r="124">
      <c r="A124" s="2" t="n">
        <v>46223</v>
      </c>
      <c r="B124" s="3">
        <f>IF(A124="","",TEXT(A124,"ddd"))</f>
        <v/>
      </c>
      <c r="C124" t="inlineStr">
        <is>
          <t>Sticky pork belly</t>
        </is>
      </c>
      <c r="D124" t="inlineStr">
        <is>
          <t>planned (week of 20 Jul 2026)</t>
        </is>
      </c>
    </row>
    <row r="125">
      <c r="A125" s="2" t="n">
        <v>46223</v>
      </c>
      <c r="B125" s="3">
        <f>IF(A125="","",TEXT(A125,"ddd"))</f>
        <v/>
      </c>
      <c r="C125" t="inlineStr">
        <is>
          <t>Stir fried vegetable</t>
        </is>
      </c>
      <c r="D125" t="inlineStr">
        <is>
          <t>planned (week of 20 Jul 2026)</t>
        </is>
      </c>
    </row>
    <row r="126">
      <c r="A126" s="2" t="n">
        <v>46223</v>
      </c>
      <c r="B126" s="3">
        <f>IF(A126="","",TEXT(A126,"ddd"))</f>
        <v/>
      </c>
      <c r="C126" t="inlineStr">
        <is>
          <t>Winter melon pork rib soup</t>
        </is>
      </c>
      <c r="D126" t="inlineStr">
        <is>
          <t>planned (week of 20 Jul 2026)</t>
        </is>
      </c>
    </row>
    <row r="127">
      <c r="A127" s="2" t="n">
        <v>46224</v>
      </c>
      <c r="B127" s="3">
        <f>IF(A127="","",TEXT(A127,"ddd"))</f>
        <v/>
      </c>
      <c r="C127" t="inlineStr">
        <is>
          <t>Cheese sausage</t>
        </is>
      </c>
      <c r="D127" t="inlineStr">
        <is>
          <t>planned (week of 20 Jul 2026)</t>
        </is>
      </c>
    </row>
    <row r="128">
      <c r="A128" s="2" t="n">
        <v>46224</v>
      </c>
      <c r="B128" s="3">
        <f>IF(A128="","",TEXT(A128,"ddd"))</f>
        <v/>
      </c>
      <c r="C128" t="inlineStr">
        <is>
          <t>Rösti</t>
        </is>
      </c>
      <c r="D128" t="inlineStr">
        <is>
          <t>planned (week of 20 Jul 2026)</t>
        </is>
      </c>
    </row>
    <row r="129">
      <c r="A129" s="2" t="n">
        <v>46224</v>
      </c>
      <c r="B129" s="3">
        <f>IF(A129="","",TEXT(A129,"ddd"))</f>
        <v/>
      </c>
      <c r="C129" t="inlineStr">
        <is>
          <t>Broccoli stir fry with mushroom</t>
        </is>
      </c>
      <c r="D129" t="inlineStr">
        <is>
          <t>planned (week of 20 Jul 2026)</t>
        </is>
      </c>
    </row>
    <row r="130">
      <c r="A130" s="2" t="n">
        <v>46225</v>
      </c>
      <c r="B130" s="3">
        <f>IF(A130="","",TEXT(A130,"ddd"))</f>
        <v/>
      </c>
      <c r="C130" t="inlineStr">
        <is>
          <t>Egg fried rice with char siew</t>
        </is>
      </c>
      <c r="D130" t="inlineStr">
        <is>
          <t>planned (week of 20 Jul 2026)</t>
        </is>
      </c>
    </row>
    <row r="131">
      <c r="A131" s="2" t="n">
        <v>46226</v>
      </c>
      <c r="B131" s="3">
        <f>IF(A131="","",TEXT(A131,"ddd"))</f>
        <v/>
      </c>
      <c r="C131" t="inlineStr">
        <is>
          <t>Pork rib king</t>
        </is>
      </c>
      <c r="D131" t="inlineStr">
        <is>
          <t>planned (week of 20 Jul 2026)</t>
        </is>
      </c>
    </row>
    <row r="132">
      <c r="A132" s="2" t="n">
        <v>46226</v>
      </c>
      <c r="B132" s="3">
        <f>IF(A132="","",TEXT(A132,"ddd"))</f>
        <v/>
      </c>
      <c r="C132" t="inlineStr">
        <is>
          <t>ABC soup</t>
        </is>
      </c>
      <c r="D132" t="inlineStr">
        <is>
          <t>planned (week of 20 Jul 2026) — no tomato</t>
        </is>
      </c>
    </row>
    <row r="133">
      <c r="A133" s="2" t="n">
        <v>46226</v>
      </c>
      <c r="B133" s="3">
        <f>IF(A133="","",TEXT(A133,"ddd"))</f>
        <v/>
      </c>
      <c r="C133" t="inlineStr">
        <is>
          <t>Stir-fried baby bok choy</t>
        </is>
      </c>
      <c r="D133" t="inlineStr">
        <is>
          <t>planned (week of 20 Jul 2026)</t>
        </is>
      </c>
    </row>
    <row r="134">
      <c r="A134" s="2" t="n">
        <v>46227</v>
      </c>
      <c r="B134" s="3">
        <f>IF(A134="","",TEXT(A134,"ddd"))</f>
        <v/>
      </c>
      <c r="C134" t="inlineStr">
        <is>
          <t>Stir fried bee hoon</t>
        </is>
      </c>
      <c r="D134" t="inlineStr">
        <is>
          <t>planned (week of 20 Jul 2026) — no prawns</t>
        </is>
      </c>
    </row>
    <row r="135">
      <c r="A135" s="2" t="n">
        <v>46227</v>
      </c>
      <c r="B135" s="3">
        <f>IF(A135="","",TEXT(A135,"ddd"))</f>
        <v/>
      </c>
      <c r="C135" t="inlineStr">
        <is>
          <t>Fried chicken wings</t>
        </is>
      </c>
      <c r="D135" t="inlineStr">
        <is>
          <t>planned (week of 20 Jul 2026)</t>
        </is>
      </c>
    </row>
    <row r="136">
      <c r="A136" s="2" t="n">
        <v>46230</v>
      </c>
      <c r="B136" s="3">
        <f>IF(A136="","",TEXT(A136,"ddd"))</f>
        <v/>
      </c>
      <c r="C136" t="inlineStr">
        <is>
          <t>Udon</t>
        </is>
      </c>
      <c r="D136" t="inlineStr">
        <is>
          <t>planned (week of 27 Jul 2026)</t>
        </is>
      </c>
    </row>
    <row r="137">
      <c r="A137" s="2" t="n">
        <v>46230</v>
      </c>
      <c r="B137" s="3">
        <f>IF(A137="","",TEXT(A137,"ddd"))</f>
        <v/>
      </c>
      <c r="C137" t="inlineStr">
        <is>
          <t>Yasai tempura</t>
        </is>
      </c>
      <c r="D137" t="inlineStr">
        <is>
          <t>planned (week of 27 Jul 2026)</t>
        </is>
      </c>
    </row>
    <row r="138">
      <c r="A138" s="2" t="n">
        <v>46231</v>
      </c>
      <c r="B138" s="3">
        <f>IF(A138="","",TEXT(A138,"ddd"))</f>
        <v/>
      </c>
      <c r="C138" t="inlineStr">
        <is>
          <t>Chicken tsukune</t>
        </is>
      </c>
      <c r="D138" t="inlineStr">
        <is>
          <t>planned (week of 27 Jul 2026)</t>
        </is>
      </c>
    </row>
    <row r="139">
      <c r="A139" s="2" t="n">
        <v>46231</v>
      </c>
      <c r="B139" s="3">
        <f>IF(A139="","",TEXT(A139,"ddd"))</f>
        <v/>
      </c>
      <c r="C139" t="inlineStr">
        <is>
          <t>Stir fried vegetable</t>
        </is>
      </c>
      <c r="D139" t="inlineStr">
        <is>
          <t>planned (week of 27 Jul 2026)</t>
        </is>
      </c>
    </row>
    <row r="140">
      <c r="A140" s="2" t="n">
        <v>46231</v>
      </c>
      <c r="B140" s="3">
        <f>IF(A140="","",TEXT(A140,"ddd"))</f>
        <v/>
      </c>
      <c r="C140" t="inlineStr">
        <is>
          <t>Chinese yam and chicken soup</t>
        </is>
      </c>
      <c r="D140" t="inlineStr">
        <is>
          <t>planned (week of 27 Jul 2026) — pork-rib version</t>
        </is>
      </c>
    </row>
    <row r="141">
      <c r="A141" s="2" t="n">
        <v>46232</v>
      </c>
      <c r="B141" s="3">
        <f>IF(A141="","",TEXT(A141,"ddd"))</f>
        <v/>
      </c>
      <c r="C141" t="inlineStr">
        <is>
          <t>Pork congee with dried scallop</t>
        </is>
      </c>
      <c r="D141" t="inlineStr">
        <is>
          <t>planned (week of 27 Jul 2026)</t>
        </is>
      </c>
    </row>
    <row r="142">
      <c r="A142" s="2" t="n">
        <v>46232</v>
      </c>
      <c r="B142" s="3">
        <f>IF(A142="","",TEXT(A142,"ddd"))</f>
        <v/>
      </c>
      <c r="C142" t="inlineStr">
        <is>
          <t>Youtiao</t>
        </is>
      </c>
      <c r="D142" t="inlineStr">
        <is>
          <t>planned (week of 27 Jul 2026)</t>
        </is>
      </c>
    </row>
    <row r="143">
      <c r="A143" s="2" t="n">
        <v>46232</v>
      </c>
      <c r="B143" s="3">
        <f>IF(A143="","",TEXT(A143,"ddd"))</f>
        <v/>
      </c>
      <c r="C143" t="inlineStr">
        <is>
          <t>Stir fried vegetable</t>
        </is>
      </c>
      <c r="D143" t="inlineStr">
        <is>
          <t>planned (week of 27 Jul 2026) — cooked green</t>
        </is>
      </c>
    </row>
    <row r="144">
      <c r="A144" s="2" t="n">
        <v>46233</v>
      </c>
      <c r="B144" s="3">
        <f>IF(A144="","",TEXT(A144,"ddd"))</f>
        <v/>
      </c>
      <c r="C144" t="inlineStr">
        <is>
          <t>Kong bak pau (braised pork buns)</t>
        </is>
      </c>
      <c r="D144" t="inlineStr">
        <is>
          <t>planned (week of 27 Jul 2026)</t>
        </is>
      </c>
    </row>
    <row r="145">
      <c r="A145" s="2" t="n">
        <v>46233</v>
      </c>
      <c r="B145" s="3">
        <f>IF(A145="","",TEXT(A145,"ddd"))</f>
        <v/>
      </c>
      <c r="C145" t="inlineStr">
        <is>
          <t>Hot and sour soup</t>
        </is>
      </c>
      <c r="D145" t="inlineStr">
        <is>
          <t>planned (week of 27 Jul 2026)</t>
        </is>
      </c>
    </row>
    <row r="146">
      <c r="A146" s="2" t="n">
        <v>46234</v>
      </c>
      <c r="B146" s="3">
        <f>IF(A146="","",TEXT(A146,"ddd"))</f>
        <v/>
      </c>
      <c r="C146" t="inlineStr">
        <is>
          <t>Yang Zhou fried rice</t>
        </is>
      </c>
      <c r="D146" t="inlineStr">
        <is>
          <t>planned (week of 27 Jul 2026) — no prawns</t>
        </is>
      </c>
    </row>
    <row r="147">
      <c r="A147" s="2" t="n">
        <v>46234</v>
      </c>
      <c r="B147" s="3">
        <f>IF(A147="","",TEXT(A147,"ddd"))</f>
        <v/>
      </c>
      <c r="C147" t="inlineStr">
        <is>
          <t>Old cucumber pork rib soup</t>
        </is>
      </c>
      <c r="D147" t="inlineStr">
        <is>
          <t>planned (week of 27 Jul 2026)</t>
        </is>
      </c>
    </row>
    <row r="148">
      <c r="A148" s="2" t="n">
        <v>46237</v>
      </c>
      <c r="B148" s="3">
        <f>IF(A148="","",TEXT(A148,"ddd"))</f>
        <v/>
      </c>
      <c r="C148" t="inlineStr">
        <is>
          <t>Taiwanese braised pork rice</t>
        </is>
      </c>
      <c r="D148" t="inlineStr">
        <is>
          <t>planned (week of 3 Aug 2026)</t>
        </is>
      </c>
    </row>
    <row r="149">
      <c r="A149" s="2" t="n">
        <v>46238</v>
      </c>
      <c r="B149" s="3">
        <f>IF(A149="","",TEXT(A149,"ddd"))</f>
        <v/>
      </c>
      <c r="C149" t="inlineStr">
        <is>
          <t>Thai style steamed seabass</t>
        </is>
      </c>
      <c r="D149" t="inlineStr">
        <is>
          <t>planned (week of 3 Aug 2026) - Thai style steamed fish</t>
        </is>
      </c>
    </row>
    <row r="150">
      <c r="A150" s="2" t="n">
        <v>46238</v>
      </c>
      <c r="B150" s="3">
        <f>IF(A150="","",TEXT(A150,"ddd"))</f>
        <v/>
      </c>
      <c r="C150" t="inlineStr">
        <is>
          <t>Eggplant with minced pork</t>
        </is>
      </c>
      <c r="D150" t="inlineStr">
        <is>
          <t>planned (week of 3 Aug 2026) - yu xiang qie zi</t>
        </is>
      </c>
    </row>
    <row r="151">
      <c r="A151" s="2" t="n">
        <v>46238</v>
      </c>
      <c r="B151" s="3">
        <f>IF(A151="","",TEXT(A151,"ddd"))</f>
        <v/>
      </c>
      <c r="C151" t="inlineStr">
        <is>
          <t>Lotus root pork rib soup</t>
        </is>
      </c>
      <c r="D151" t="inlineStr">
        <is>
          <t>planned (week of 3 Aug 2026)</t>
        </is>
      </c>
    </row>
    <row r="152">
      <c r="A152" s="2" t="n">
        <v>46239</v>
      </c>
      <c r="B152" s="3">
        <f>IF(A152="","",TEXT(A152,"ddd"))</f>
        <v/>
      </c>
      <c r="C152" t="inlineStr">
        <is>
          <t>Ee-fu mee</t>
        </is>
      </c>
      <c r="D152" t="inlineStr">
        <is>
          <t>planned (week of 3 Aug 2026)</t>
        </is>
      </c>
    </row>
    <row r="153">
      <c r="A153" s="2" t="n">
        <v>46239</v>
      </c>
      <c r="B153" s="3">
        <f>IF(A153="","",TEXT(A153,"ddd"))</f>
        <v/>
      </c>
      <c r="C153" t="inlineStr">
        <is>
          <t>Claypot tofu (tofu hotplate with broccoli)</t>
        </is>
      </c>
      <c r="D153" t="inlineStr">
        <is>
          <t>planned (week of 3 Aug 2026) - broccoli not snow peas; omit prawns; sub the Shaoxing</t>
        </is>
      </c>
    </row>
    <row r="154">
      <c r="A154" s="2" t="n">
        <v>46239</v>
      </c>
      <c r="B154" s="3">
        <f>IF(A154="","",TEXT(A154,"ddd"))</f>
        <v/>
      </c>
      <c r="C154" t="inlineStr">
        <is>
          <t>Chinese yam and chicken soup</t>
        </is>
      </c>
      <c r="D154" t="inlineStr">
        <is>
          <t>planned (week of 3 Aug 2026) - sub the cooking wine</t>
        </is>
      </c>
    </row>
    <row r="155">
      <c r="A155" s="2" t="n">
        <v>46240</v>
      </c>
      <c r="B155" s="3">
        <f>IF(A155="","",TEXT(A155,"ddd"))</f>
        <v/>
      </c>
      <c r="C155" t="inlineStr">
        <is>
          <t>Beef rendang</t>
        </is>
      </c>
      <c r="D155" t="inlineStr">
        <is>
          <t>planned (week of 3 Aug 2026) - Madam Kwan's paste, 1.5 packets</t>
        </is>
      </c>
    </row>
    <row r="156">
      <c r="A156" s="2" t="n">
        <v>46240</v>
      </c>
      <c r="B156" s="3">
        <f>IF(A156="","",TEXT(A156,"ddd"))</f>
        <v/>
      </c>
      <c r="C156" t="inlineStr">
        <is>
          <t>Steamed stuffed tofu puffs</t>
        </is>
      </c>
      <c r="D156" t="inlineStr">
        <is>
          <t>planned (week of 3 Aug 2026)</t>
        </is>
      </c>
    </row>
    <row r="157">
      <c r="A157" s="2" t="n">
        <v>46240</v>
      </c>
      <c r="B157" s="3">
        <f>IF(A157="","",TEXT(A157,"ddd"))</f>
        <v/>
      </c>
      <c r="C157" t="inlineStr">
        <is>
          <t>Stir fried vegetable</t>
        </is>
      </c>
      <c r="D157" t="inlineStr">
        <is>
          <t>planned (week of 3 Aug 2026) - dark leafy green, unseasoned</t>
        </is>
      </c>
    </row>
    <row r="158">
      <c r="A158" s="2" t="n">
        <v>46241</v>
      </c>
      <c r="B158" s="3">
        <f>IF(A158="","",TEXT(A158,"ddd"))</f>
        <v/>
      </c>
      <c r="C158" t="inlineStr">
        <is>
          <t>Hakka mei cai kou rou</t>
        </is>
      </c>
      <c r="D158" t="inlineStr">
        <is>
          <t>planned (week of 3 Aug 2026)</t>
        </is>
      </c>
    </row>
    <row r="159">
      <c r="A159" s="2" t="n">
        <v>46241</v>
      </c>
      <c r="B159" s="3">
        <f>IF(A159="","",TEXT(A159,"ddd"))</f>
        <v/>
      </c>
      <c r="C159" t="inlineStr">
        <is>
          <t>Stir fried vegetable</t>
        </is>
      </c>
      <c r="D159" t="inlineStr">
        <is>
          <t>planned (week of 3 Aug 2026)</t>
        </is>
      </c>
    </row>
    <row r="160">
      <c r="A160" s="2" t="n">
        <v>46241</v>
      </c>
      <c r="B160" s="3">
        <f>IF(A160="","",TEXT(A160,"ddd"))</f>
        <v/>
      </c>
      <c r="C160" t="inlineStr">
        <is>
          <t>Steamed rice</t>
        </is>
      </c>
      <c r="D160" t="inlineStr">
        <is>
          <t>planned (week of 3 Aug 2026)</t>
        </is>
      </c>
    </row>
    <row r="161">
      <c r="A161" s="2" t="n">
        <v>46245</v>
      </c>
      <c r="B161" s="3">
        <f>IF(A161="","",TEXT(A161,"ddd"))</f>
        <v/>
      </c>
      <c r="C161" t="inlineStr">
        <is>
          <t>HK-style steamed chicken</t>
        </is>
      </c>
      <c r="D161" t="inlineStr">
        <is>
          <t>planned (week of 10 Aug 2026)</t>
        </is>
      </c>
    </row>
    <row r="162">
      <c r="A162" s="2" t="n">
        <v>46245</v>
      </c>
      <c r="B162" s="3">
        <f>IF(A162="","",TEXT(A162,"ddd"))</f>
        <v/>
      </c>
      <c r="C162" t="inlineStr">
        <is>
          <t>Braised mushrooms with spinach</t>
        </is>
      </c>
      <c r="D162" t="inlineStr">
        <is>
          <t>planned (week of 10 Aug 2026)</t>
        </is>
      </c>
    </row>
    <row r="163">
      <c r="A163" s="2" t="n">
        <v>46245</v>
      </c>
      <c r="B163" s="3">
        <f>IF(A163="","",TEXT(A163,"ddd"))</f>
        <v/>
      </c>
      <c r="C163" t="inlineStr">
        <is>
          <t>Radish pork rib soup with dates</t>
        </is>
      </c>
      <c r="D163" t="inlineStr">
        <is>
          <t>planned (week of 10 Aug 2026)</t>
        </is>
      </c>
    </row>
    <row r="164">
      <c r="A164" s="2" t="n">
        <v>46245</v>
      </c>
      <c r="B164" s="3">
        <f>IF(A164="","",TEXT(A164,"ddd"))</f>
        <v/>
      </c>
      <c r="C164" t="inlineStr">
        <is>
          <t>Steamed rice</t>
        </is>
      </c>
      <c r="D164" t="inlineStr">
        <is>
          <t>planned (week of 10 Aug 2026)</t>
        </is>
      </c>
    </row>
    <row r="165">
      <c r="A165" s="2" t="n">
        <v>46246</v>
      </c>
      <c r="B165" s="3">
        <f>IF(A165="","",TEXT(A165,"ddd"))</f>
        <v/>
      </c>
      <c r="C165" t="inlineStr">
        <is>
          <t>Yang Zhou fried rice</t>
        </is>
      </c>
      <c r="D165" t="inlineStr">
        <is>
          <t>planned (week of 10 Aug 2026) - EARLY - 12d after 31 Jul, cd 28; user approved</t>
        </is>
      </c>
    </row>
    <row r="166">
      <c r="A166" s="2" t="n">
        <v>46246</v>
      </c>
      <c r="B166" s="3">
        <f>IF(A166="","",TEXT(A166,"ddd"))</f>
        <v/>
      </c>
      <c r="C166" t="inlineStr">
        <is>
          <t>Cereal pork chop</t>
        </is>
      </c>
      <c r="D166" t="inlineStr">
        <is>
          <t>planned (week of 10 Aug 2026)</t>
        </is>
      </c>
    </row>
    <row r="167">
      <c r="A167" s="2" t="n">
        <v>46246</v>
      </c>
      <c r="B167" s="3">
        <f>IF(A167="","",TEXT(A167,"ddd"))</f>
        <v/>
      </c>
      <c r="C167" t="inlineStr">
        <is>
          <t>Stir fried vegetable</t>
        </is>
      </c>
      <c r="D167" t="inlineStr">
        <is>
          <t>planned (week of 10 Aug 2026)</t>
        </is>
      </c>
    </row>
    <row r="168">
      <c r="A168" s="2" t="n">
        <v>46247</v>
      </c>
      <c r="B168" s="3">
        <f>IF(A168="","",TEXT(A168,"ddd"))</f>
        <v/>
      </c>
      <c r="C168" t="inlineStr">
        <is>
          <t>Steamed baby threadfin</t>
        </is>
      </c>
      <c r="D168" t="inlineStr">
        <is>
          <t>planned (week of 10 Aug 2026)</t>
        </is>
      </c>
    </row>
    <row r="169">
      <c r="A169" s="2" t="n">
        <v>46247</v>
      </c>
      <c r="B169" s="3">
        <f>IF(A169="","",TEXT(A169,"ddd"))</f>
        <v/>
      </c>
      <c r="C169" t="inlineStr">
        <is>
          <t>Stir fried vegetable</t>
        </is>
      </c>
      <c r="D169" t="inlineStr">
        <is>
          <t>planned (week of 10 Aug 2026)</t>
        </is>
      </c>
    </row>
    <row r="170">
      <c r="A170" s="2" t="n">
        <v>46247</v>
      </c>
      <c r="B170" s="3">
        <f>IF(A170="","",TEXT(A170,"ddd"))</f>
        <v/>
      </c>
      <c r="C170" t="inlineStr">
        <is>
          <t>Braised pork ribs</t>
        </is>
      </c>
      <c r="D170" t="inlineStr">
        <is>
          <t>planned (week of 10 Aug 2026) - cut the 1 cup rice wine</t>
        </is>
      </c>
    </row>
    <row r="171">
      <c r="A171" s="2" t="n">
        <v>46248</v>
      </c>
      <c r="B171" s="3">
        <f>IF(A171="","",TEXT(A171,"ddd"))</f>
        <v/>
      </c>
      <c r="C171" t="inlineStr">
        <is>
          <t>Sticky honey pork</t>
        </is>
      </c>
      <c r="D171" t="inlineStr">
        <is>
          <t>planned (week of 10 Aug 2026)</t>
        </is>
      </c>
    </row>
    <row r="172">
      <c r="A172" s="2" t="n">
        <v>46248</v>
      </c>
      <c r="B172" s="3">
        <f>IF(A172="","",TEXT(A172,"ddd"))</f>
        <v/>
      </c>
      <c r="C172" t="inlineStr">
        <is>
          <t>Hainanese chap chye</t>
        </is>
      </c>
      <c r="D172" t="inlineStr">
        <is>
          <t>planned (week of 10 Aug 2026)</t>
        </is>
      </c>
    </row>
    <row r="173">
      <c r="A173" s="2" t="n">
        <v>46248</v>
      </c>
      <c r="B173" s="3">
        <f>IF(A173="","",TEXT(A173,"ddd"))</f>
        <v/>
      </c>
      <c r="C173" t="inlineStr">
        <is>
          <t>Tonjiru</t>
        </is>
      </c>
      <c r="D173" t="inlineStr">
        <is>
          <t>planned (week of 10 Aug 2026)</t>
        </is>
      </c>
    </row>
    <row r="174">
      <c r="A174" s="2" t="n">
        <v>46248</v>
      </c>
      <c r="B174" s="3">
        <f>IF(A174="","",TEXT(A174,"ddd"))</f>
        <v/>
      </c>
      <c r="C174" t="inlineStr">
        <is>
          <t>Steamed rice</t>
        </is>
      </c>
      <c r="D174" t="inlineStr">
        <is>
          <t>planned (week of 10 Aug 2026)</t>
        </is>
      </c>
    </row>
    <row r="175">
      <c r="A175" s="2" t="n"/>
      <c r="B175" s="3">
        <f>IF(A175="","",TEXT(A175,"ddd"))</f>
        <v/>
      </c>
    </row>
    <row r="176">
      <c r="A176" s="2" t="n"/>
      <c r="B176" s="3">
        <f>IF(A176="","",TEXT(A176,"ddd"))</f>
        <v/>
      </c>
    </row>
    <row r="177">
      <c r="A177" s="2" t="n"/>
      <c r="B177" s="3">
        <f>IF(A177="","",TEXT(A177,"ddd"))</f>
        <v/>
      </c>
    </row>
    <row r="178">
      <c r="A178" s="2" t="n"/>
      <c r="B178" s="3">
        <f>IF(A178="","",TEXT(A178,"ddd"))</f>
        <v/>
      </c>
    </row>
    <row r="179">
      <c r="A179" s="2" t="n"/>
      <c r="B179" s="3">
        <f>IF(A179="","",TEXT(A179,"ddd"))</f>
        <v/>
      </c>
    </row>
    <row r="180">
      <c r="A180" s="2" t="n"/>
      <c r="B180" s="3">
        <f>IF(A180="","",TEXT(A180,"ddd"))</f>
        <v/>
      </c>
    </row>
    <row r="181">
      <c r="A181" s="2" t="n"/>
      <c r="B181" s="3">
        <f>IF(A181="","",TEXT(A181,"ddd"))</f>
        <v/>
      </c>
    </row>
    <row r="182">
      <c r="A182" s="2" t="n"/>
      <c r="B182" s="3">
        <f>IF(A182="","",TEXT(A182,"ddd"))</f>
        <v/>
      </c>
    </row>
    <row r="183">
      <c r="A183" s="2" t="n"/>
      <c r="B183" s="3">
        <f>IF(A183="","",TEXT(A183,"ddd"))</f>
        <v/>
      </c>
    </row>
    <row r="184">
      <c r="A184" s="2" t="n"/>
      <c r="B184" s="3">
        <f>IF(A184="","",TEXT(A184,"ddd"))</f>
        <v/>
      </c>
    </row>
    <row r="185">
      <c r="A185" s="2" t="n"/>
      <c r="B185" s="3">
        <f>IF(A185="","",TEXT(A185,"ddd"))</f>
        <v/>
      </c>
    </row>
    <row r="186">
      <c r="A186" s="2" t="n"/>
      <c r="B186" s="3">
        <f>IF(A186="","",TEXT(A186,"ddd"))</f>
        <v/>
      </c>
    </row>
    <row r="187">
      <c r="A187" s="2" t="n"/>
      <c r="B187" s="3">
        <f>IF(A187="","",TEXT(A187,"ddd"))</f>
        <v/>
      </c>
    </row>
    <row r="188">
      <c r="A188" s="2" t="n"/>
      <c r="B188" s="3">
        <f>IF(A188="","",TEXT(A188,"ddd"))</f>
        <v/>
      </c>
    </row>
    <row r="189">
      <c r="A189" s="2" t="n"/>
      <c r="B189" s="3">
        <f>IF(A189="","",TEXT(A189,"ddd"))</f>
        <v/>
      </c>
    </row>
    <row r="190">
      <c r="A190" s="2" t="n"/>
      <c r="B190" s="3">
        <f>IF(A190="","",TEXT(A190,"ddd"))</f>
        <v/>
      </c>
    </row>
    <row r="191">
      <c r="A191" s="2" t="n"/>
      <c r="B191" s="3">
        <f>IF(A191="","",TEXT(A191,"ddd"))</f>
        <v/>
      </c>
    </row>
    <row r="192">
      <c r="A192" s="2" t="n"/>
      <c r="B192" s="3">
        <f>IF(A192="","",TEXT(A192,"ddd"))</f>
        <v/>
      </c>
    </row>
    <row r="193">
      <c r="A193" s="2" t="n"/>
      <c r="B193" s="3">
        <f>IF(A193="","",TEXT(A193,"ddd"))</f>
        <v/>
      </c>
    </row>
    <row r="194">
      <c r="A194" s="2" t="n"/>
      <c r="B194" s="3">
        <f>IF(A194="","",TEXT(A194,"ddd"))</f>
        <v/>
      </c>
    </row>
    <row r="195">
      <c r="A195" s="2" t="n"/>
      <c r="B195" s="3">
        <f>IF(A195="","",TEXT(A195,"ddd"))</f>
        <v/>
      </c>
    </row>
    <row r="196">
      <c r="A196" s="2" t="n"/>
      <c r="B196" s="3">
        <f>IF(A196="","",TEXT(A196,"ddd"))</f>
        <v/>
      </c>
    </row>
    <row r="197">
      <c r="A197" s="2" t="n"/>
      <c r="B197" s="3">
        <f>IF(A197="","",TEXT(A197,"ddd"))</f>
        <v/>
      </c>
    </row>
    <row r="198">
      <c r="A198" s="2" t="n"/>
      <c r="B198" s="3">
        <f>IF(A198="","",TEXT(A198,"ddd"))</f>
        <v/>
      </c>
    </row>
    <row r="199">
      <c r="A199" s="2" t="n"/>
      <c r="B199" s="3">
        <f>IF(A199="","",TEXT(A199,"ddd"))</f>
        <v/>
      </c>
    </row>
    <row r="200">
      <c r="A200" s="2" t="n"/>
      <c r="B200" s="3">
        <f>IF(A200="","",TEXT(A200,"ddd"))</f>
        <v/>
      </c>
    </row>
    <row r="201">
      <c r="A201" s="2" t="n"/>
      <c r="B201" s="3">
        <f>IF(A201="","",TEXT(A201,"ddd"))</f>
        <v/>
      </c>
    </row>
    <row r="202">
      <c r="A202" s="2" t="n"/>
      <c r="B202" s="3">
        <f>IF(A202="","",TEXT(A202,"ddd"))</f>
        <v/>
      </c>
    </row>
    <row r="203">
      <c r="A203" s="2" t="n"/>
      <c r="B203" s="3">
        <f>IF(A203="","",TEXT(A203,"ddd"))</f>
        <v/>
      </c>
    </row>
    <row r="204">
      <c r="A204" s="2" t="n"/>
      <c r="B204" s="3">
        <f>IF(A204="","",TEXT(A204,"ddd"))</f>
        <v/>
      </c>
    </row>
    <row r="205">
      <c r="A205" s="2" t="n"/>
      <c r="B205" s="3">
        <f>IF(A205="","",TEXT(A205,"ddd"))</f>
        <v/>
      </c>
    </row>
    <row r="206">
      <c r="A206" s="2" t="n"/>
      <c r="B206" s="3">
        <f>IF(A206="","",TEXT(A206,"ddd"))</f>
        <v/>
      </c>
    </row>
    <row r="207">
      <c r="A207" s="2" t="n"/>
      <c r="B207" s="3">
        <f>IF(A207="","",TEXT(A207,"ddd"))</f>
        <v/>
      </c>
    </row>
    <row r="208">
      <c r="A208" s="2" t="n"/>
      <c r="B208" s="3">
        <f>IF(A208="","",TEXT(A208,"ddd"))</f>
        <v/>
      </c>
    </row>
    <row r="209">
      <c r="A209" s="2" t="n"/>
      <c r="B209" s="3">
        <f>IF(A209="","",TEXT(A209,"ddd"))</f>
        <v/>
      </c>
    </row>
    <row r="210">
      <c r="A210" s="2" t="n"/>
      <c r="B210" s="3">
        <f>IF(A210="","",TEXT(A210,"ddd"))</f>
        <v/>
      </c>
    </row>
    <row r="211">
      <c r="A211" s="2" t="n"/>
      <c r="B211" s="3">
        <f>IF(A211="","",TEXT(A211,"ddd"))</f>
        <v/>
      </c>
    </row>
    <row r="212">
      <c r="A212" s="2" t="n"/>
      <c r="B212" s="3">
        <f>IF(A212="","",TEXT(A212,"ddd"))</f>
        <v/>
      </c>
    </row>
    <row r="213">
      <c r="A213" s="2" t="n"/>
      <c r="B213" s="3">
        <f>IF(A213="","",TEXT(A213,"ddd"))</f>
        <v/>
      </c>
    </row>
    <row r="214">
      <c r="A214" s="2" t="n"/>
      <c r="B214" s="3">
        <f>IF(A214="","",TEXT(A214,"ddd"))</f>
        <v/>
      </c>
    </row>
    <row r="215">
      <c r="A215" s="2" t="n"/>
      <c r="B215" s="3">
        <f>IF(A215="","",TEXT(A215,"ddd"))</f>
        <v/>
      </c>
    </row>
    <row r="216">
      <c r="A216" s="2" t="n"/>
      <c r="B216" s="3">
        <f>IF(A216="","",TEXT(A216,"ddd"))</f>
        <v/>
      </c>
    </row>
    <row r="217">
      <c r="A217" s="2" t="n"/>
      <c r="B217" s="3">
        <f>IF(A217="","",TEXT(A217,"ddd"))</f>
        <v/>
      </c>
    </row>
    <row r="218">
      <c r="A218" s="2" t="n"/>
      <c r="B218" s="3">
        <f>IF(A218="","",TEXT(A218,"ddd"))</f>
        <v/>
      </c>
    </row>
    <row r="219">
      <c r="A219" s="2" t="n"/>
      <c r="B219" s="3">
        <f>IF(A219="","",TEXT(A219,"ddd"))</f>
        <v/>
      </c>
    </row>
    <row r="220">
      <c r="A220" s="2" t="n"/>
      <c r="B220" s="3">
        <f>IF(A220="","",TEXT(A220,"ddd"))</f>
        <v/>
      </c>
    </row>
    <row r="221">
      <c r="A221" s="2" t="n"/>
      <c r="B221" s="3">
        <f>IF(A221="","",TEXT(A221,"ddd"))</f>
        <v/>
      </c>
    </row>
    <row r="222">
      <c r="A222" s="2" t="n"/>
      <c r="B222" s="3">
        <f>IF(A222="","",TEXT(A222,"ddd"))</f>
        <v/>
      </c>
    </row>
    <row r="223">
      <c r="A223" s="2" t="n"/>
      <c r="B223" s="3">
        <f>IF(A223="","",TEXT(A223,"ddd"))</f>
        <v/>
      </c>
    </row>
    <row r="224">
      <c r="A224" s="2" t="n"/>
      <c r="B224" s="3">
        <f>IF(A224="","",TEXT(A224,"ddd"))</f>
        <v/>
      </c>
    </row>
    <row r="225">
      <c r="A225" s="2" t="n"/>
      <c r="B225" s="3">
        <f>IF(A225="","",TEXT(A225,"ddd"))</f>
        <v/>
      </c>
    </row>
    <row r="226">
      <c r="A226" s="2" t="n"/>
      <c r="B226" s="3">
        <f>IF(A226="","",TEXT(A226,"ddd"))</f>
        <v/>
      </c>
    </row>
    <row r="227">
      <c r="A227" s="2" t="n"/>
      <c r="B227" s="3">
        <f>IF(A227="","",TEXT(A227,"ddd"))</f>
        <v/>
      </c>
    </row>
    <row r="228">
      <c r="A228" s="2" t="n"/>
      <c r="B228" s="3">
        <f>IF(A228="","",TEXT(A228,"ddd"))</f>
        <v/>
      </c>
    </row>
    <row r="229">
      <c r="A229" s="2" t="n"/>
      <c r="B229" s="3">
        <f>IF(A229="","",TEXT(A229,"ddd"))</f>
        <v/>
      </c>
    </row>
    <row r="230">
      <c r="A230" s="2" t="n"/>
      <c r="B230" s="3">
        <f>IF(A230="","",TEXT(A230,"ddd"))</f>
        <v/>
      </c>
    </row>
    <row r="231">
      <c r="A231" s="2" t="n"/>
      <c r="B231" s="3">
        <f>IF(A231="","",TEXT(A231,"ddd"))</f>
        <v/>
      </c>
    </row>
    <row r="232">
      <c r="A232" s="2" t="n"/>
      <c r="B232" s="3">
        <f>IF(A232="","",TEXT(A232,"ddd"))</f>
        <v/>
      </c>
    </row>
    <row r="233">
      <c r="A233" s="2" t="n"/>
      <c r="B233" s="3">
        <f>IF(A233="","",TEXT(A233,"ddd"))</f>
        <v/>
      </c>
    </row>
    <row r="234">
      <c r="A234" s="2" t="n"/>
      <c r="B234" s="3">
        <f>IF(A234="","",TEXT(A234,"ddd"))</f>
        <v/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n"/>
      <c r="B55" s="4" t="n"/>
      <c r="C55" s="5" t="n"/>
      <c r="D55" s="4" t="n"/>
      <c r="E55" s="4" t="n"/>
      <c r="F55" s="6" t="n"/>
      <c r="G55" s="6" t="n"/>
      <c r="H55" s="4" t="n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/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>
        <is>
          <t>Recipe file deleted - had no quantities or servings. Re-add from https://www.youtube.com/watch?v=aMD3MLJRV38</t>
        </is>
      </c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 (tofu hotplate with broccoli)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recipes/claypot-tofu.md. Broccoli substitutes the snow peas. Merged with the old "Tofu hotplate with broccoli" row - same dish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  <row r="92">
      <c r="A92" t="inlineStr">
        <is>
          <t>Prawn noodle soup</t>
        </is>
      </c>
      <c r="B92" t="inlineStr">
        <is>
          <t>Noodle</t>
        </is>
      </c>
      <c r="C92">
        <f>IFERROR(IF(MAXIFS('Cook log'!A2:A1000,'Cook log'!C2:C1000,A92)=0,"",MAXIFS('Cook log'!A2:A1000,'Cook log'!C2:C1000,A92)),"")</f>
        <v/>
      </c>
      <c r="D92">
        <f>IF(C92="","",TODAY()-C92)</f>
        <v/>
      </c>
      <c r="E92">
        <f>COUNTIF('Cook log'!C2:C1000,A92)</f>
        <v/>
      </c>
      <c r="F92" t="n">
        <v>21</v>
      </c>
      <c r="G92">
        <f>IF(C92="","Never cooked",IF(D92&lt;F92,"Cooldown","Due"))</f>
        <v/>
      </c>
    </row>
    <row r="93">
      <c r="A93" t="inlineStr">
        <is>
          <t>Baked salmon with herbs</t>
        </is>
      </c>
      <c r="B93" t="inlineStr">
        <is>
          <t>Fish</t>
        </is>
      </c>
      <c r="C93">
        <f>IFERROR(IF(MAXIFS('Cook log'!A2:A1000,'Cook log'!C2:C1000,A93)=0,"",MAXIFS('Cook log'!A2:A1000,'Cook log'!C2:C1000,A93)),"")</f>
        <v/>
      </c>
      <c r="D93">
        <f>IF(C93="","",TODAY()-C93)</f>
        <v/>
      </c>
      <c r="E93">
        <f>COUNTIF('Cook log'!C2:C1000,A93)</f>
        <v/>
      </c>
      <c r="F93" t="n">
        <v>21</v>
      </c>
      <c r="G93">
        <f>IF(C93="","Never cooked",IF(D93&lt;F93,"Cooldown","Due"))</f>
        <v/>
      </c>
    </row>
    <row r="94">
      <c r="A94" t="inlineStr">
        <is>
          <t>Stir-fry beef ramen</t>
        </is>
      </c>
      <c r="B94" t="inlineStr">
        <is>
          <t>Noodle</t>
        </is>
      </c>
      <c r="C94">
        <f>IFERROR(IF(MAXIFS('Cook log'!A2:A1000,'Cook log'!C2:C1000,A94)=0,"",MAXIFS('Cook log'!A2:A1000,'Cook log'!C2:C1000,A94)),"")</f>
        <v/>
      </c>
      <c r="D94">
        <f>IF(C94="","",TODAY()-C94)</f>
        <v/>
      </c>
      <c r="E94">
        <f>COUNTIF('Cook log'!C2:C1000,A94)</f>
        <v/>
      </c>
      <c r="F94" t="n">
        <v>21</v>
      </c>
      <c r="G94">
        <f>IF(C94="","Never cooked",IF(D94&lt;F94,"Cooldown","Due"))</f>
        <v/>
      </c>
    </row>
    <row r="95">
      <c r="A95" t="inlineStr">
        <is>
          <t>HK steamed chicken rice</t>
        </is>
      </c>
      <c r="B95" t="inlineStr">
        <is>
          <t>Rice</t>
        </is>
      </c>
      <c r="C95">
        <f>IFERROR(IF(MAXIFS('Cook log'!A2:A1000,'Cook log'!C2:C1000,A95)=0,"",MAXIFS('Cook log'!A2:A1000,'Cook log'!C2:C1000,A95)),"")</f>
        <v/>
      </c>
      <c r="D95">
        <f>IF(C95="","",TODAY()-C95)</f>
        <v/>
      </c>
      <c r="E95">
        <f>COUNTIF('Cook log'!C2:C1000,A95)</f>
        <v/>
      </c>
      <c r="F95" t="n">
        <v>21</v>
      </c>
      <c r="G95">
        <f>IF(C95="","Never cooked",IF(D95&lt;F95,"Cooldown","Due"))</f>
        <v/>
      </c>
    </row>
    <row r="96">
      <c r="A96" t="inlineStr">
        <is>
          <t>Wat Tan Hor Fun</t>
        </is>
      </c>
      <c r="B96" t="inlineStr">
        <is>
          <t>Noodle</t>
        </is>
      </c>
      <c r="C96">
        <f>IFERROR(IF(MAXIFS('Cook log'!A2:A1000,'Cook log'!C2:C1000,A96)=0,"",MAXIFS('Cook log'!A2:A1000,'Cook log'!C2:C1000,A96)),"")</f>
        <v/>
      </c>
      <c r="D96">
        <f>IF(C96="","",TODAY()-C96)</f>
        <v/>
      </c>
      <c r="E96">
        <f>COUNTIF('Cook log'!C2:C1000,A96)</f>
        <v/>
      </c>
      <c r="F96" t="n">
        <v>21</v>
      </c>
      <c r="G96">
        <f>IF(C96="","Never cooked",IF(D96&lt;F96,"Cooldown","Due"))</f>
        <v/>
      </c>
    </row>
    <row r="97">
      <c r="A97" t="inlineStr">
        <is>
          <t>Seafood pao fan</t>
        </is>
      </c>
      <c r="B97" t="inlineStr">
        <is>
          <t>Soup</t>
        </is>
      </c>
      <c r="C97">
        <f>IFERROR(IF(MAXIFS('Cook log'!A2:A1000,'Cook log'!C2:C1000,A97)=0,"",MAXIFS('Cook log'!A2:A1000,'Cook log'!C2:C1000,A97)),"")</f>
        <v/>
      </c>
      <c r="D97">
        <f>IF(C97="","",TODAY()-C97)</f>
        <v/>
      </c>
      <c r="E97">
        <f>COUNTIF('Cook log'!C2:C1000,A97)</f>
        <v/>
      </c>
      <c r="F97" t="n">
        <v>21</v>
      </c>
      <c r="G97">
        <f>IF(C97="","Never cooked",IF(D97&lt;F97,"Cooldown","Due"))</f>
        <v/>
      </c>
    </row>
    <row r="98">
      <c r="A98" t="inlineStr">
        <is>
          <t>Pepper lunch beef rice</t>
        </is>
      </c>
      <c r="B98" t="inlineStr">
        <is>
          <t>Rice</t>
        </is>
      </c>
      <c r="C98">
        <f>IFERROR(IF(MAXIFS('Cook log'!A2:A1000,'Cook log'!C2:C1000,A98)=0,"",MAXIFS('Cook log'!A2:A1000,'Cook log'!C2:C1000,A98)),"")</f>
        <v/>
      </c>
      <c r="D98">
        <f>IF(C98="","",TODAY()-C98)</f>
        <v/>
      </c>
      <c r="E98">
        <f>COUNTIF('Cook log'!C2:C1000,A98)</f>
        <v/>
      </c>
      <c r="F98" t="n">
        <v>21</v>
      </c>
      <c r="G98">
        <f>IF(C98="","Never cooked",IF(D98&lt;F98,"Cooldown","Due"))</f>
        <v/>
      </c>
    </row>
    <row r="99">
      <c r="A99" t="inlineStr">
        <is>
          <t>Tonjiru</t>
        </is>
      </c>
      <c r="B99" t="inlineStr">
        <is>
          <t>Soup</t>
        </is>
      </c>
      <c r="C99">
        <f>IFERROR(IF(MAXIFS('Cook log'!A2:A1000,'Cook log'!C2:C1000,A99)=0,"",MAXIFS('Cook log'!A2:A1000,'Cook log'!C2:C1000,A99)),"")</f>
        <v/>
      </c>
      <c r="D99">
        <f>IF(C99="","",TODAY()-C99)</f>
        <v/>
      </c>
      <c r="E99">
        <f>COUNTIF('Cook log'!C2:C1000,A99)</f>
        <v/>
      </c>
      <c r="F99" t="n">
        <v>21</v>
      </c>
      <c r="G99">
        <f>IF(C99="","Never cooked",IF(D99&lt;F99,"Cooldown","Due"))</f>
        <v/>
      </c>
    </row>
    <row r="100">
      <c r="A100" t="inlineStr">
        <is>
          <t>Chicken chop &amp; mushroom noodles</t>
        </is>
      </c>
      <c r="B100" t="inlineStr">
        <is>
          <t>Noodle</t>
        </is>
      </c>
      <c r="C100">
        <f>IFERROR(IF(MAXIFS('Cook log'!A2:A1000,'Cook log'!C2:C1000,A100)=0,"",MAXIFS('Cook log'!A2:A1000,'Cook log'!C2:C1000,A100)),"")</f>
        <v/>
      </c>
      <c r="D100">
        <f>IF(C100="","",TODAY()-C100)</f>
        <v/>
      </c>
      <c r="E100">
        <f>COUNTIF('Cook log'!C2:C1000,A100)</f>
        <v/>
      </c>
      <c r="F100" t="n">
        <v>21</v>
      </c>
      <c r="G100">
        <f>IF(C100="","Never cooked",IF(D100&lt;F100,"Cooldown","Due"))</f>
        <v/>
      </c>
    </row>
    <row r="101">
      <c r="A101" t="inlineStr">
        <is>
          <t>Stir-fried eggs and prawns</t>
        </is>
      </c>
      <c r="B101" t="inlineStr">
        <is>
          <t>Prawn</t>
        </is>
      </c>
      <c r="C101">
        <f>IFERROR(IF(MAXIFS('Cook log'!A2:A1000,'Cook log'!C2:C1000,A101)=0,"",MAXIFS('Cook log'!A2:A1000,'Cook log'!C2:C1000,A101)),"")</f>
        <v/>
      </c>
      <c r="D101">
        <f>IF(C101="","",TODAY()-C101)</f>
        <v/>
      </c>
      <c r="E101">
        <f>COUNTIF('Cook log'!C2:C1000,A101)</f>
        <v/>
      </c>
      <c r="F101" t="n">
        <v>21</v>
      </c>
      <c r="G101">
        <f>IF(C101="","Never cooked",IF(D101&lt;F101,"Cooldown","Due"))</f>
        <v/>
      </c>
    </row>
    <row r="102">
      <c r="A102" t="inlineStr">
        <is>
          <t>Claypot Mee Tai Bak</t>
        </is>
      </c>
      <c r="B102" t="inlineStr">
        <is>
          <t>Noodle</t>
        </is>
      </c>
      <c r="C102">
        <f>IFERROR(IF(MAXIFS('Cook log'!A2:A1000,'Cook log'!C2:C1000,A102)=0,"",MAXIFS('Cook log'!A2:A1000,'Cook log'!C2:C1000,A102)),"")</f>
        <v/>
      </c>
      <c r="D102">
        <f>IF(C102="","",TODAY()-C102)</f>
        <v/>
      </c>
      <c r="E102">
        <f>COUNTIF('Cook log'!C2:C1000,A102)</f>
        <v/>
      </c>
      <c r="F102" t="n">
        <v>21</v>
      </c>
      <c r="G102">
        <f>IF(C102="","Never cooked",IF(D102&lt;F102,"Cooldown","Due"))</f>
        <v/>
      </c>
    </row>
    <row r="103">
      <c r="A103" t="inlineStr">
        <is>
          <t>Fried threadfin with onion</t>
        </is>
      </c>
      <c r="B103" t="inlineStr">
        <is>
          <t>Fish</t>
        </is>
      </c>
      <c r="C103">
        <f>IFERROR(IF(MAXIFS('Cook log'!A2:A1000,'Cook log'!C2:C1000,A103)=0,"",MAXIFS('Cook log'!A2:A1000,'Cook log'!C2:C1000,A103)),"")</f>
        <v/>
      </c>
      <c r="D103">
        <f>IF(C103="","",TODAY()-C103)</f>
        <v/>
      </c>
      <c r="E103">
        <f>COUNTIF('Cook log'!C2:C1000,A103)</f>
        <v/>
      </c>
      <c r="F103" t="n">
        <v>21</v>
      </c>
      <c r="G103">
        <f>IF(C103="","Never cooked",IF(D103&lt;F103,"Cooldown","Due"))</f>
        <v/>
      </c>
    </row>
    <row r="104">
      <c r="A104" t="inlineStr">
        <is>
          <t>Hainanese chap chye</t>
        </is>
      </c>
      <c r="B104" t="inlineStr">
        <is>
          <t>Vegetable</t>
        </is>
      </c>
      <c r="C104">
        <f>IFERROR(IF(MAXIFS('Cook log'!A2:A1000,'Cook log'!C2:C1000,A104)=0,"",MAXIFS('Cook log'!A2:A1000,'Cook log'!C2:C1000,A104)),"")</f>
        <v/>
      </c>
      <c r="D104">
        <f>IF(C104="","",TODAY()-C104)</f>
        <v/>
      </c>
      <c r="E104">
        <f>COUNTIF('Cook log'!C2:C1000,A104)</f>
        <v/>
      </c>
      <c r="F104" t="n">
        <v>21</v>
      </c>
      <c r="G104">
        <f>IF(C104="","Never cooked",IF(D104&lt;F104,"Cooldown","Due"))</f>
        <v/>
      </c>
    </row>
    <row r="105">
      <c r="A105" t="inlineStr">
        <is>
          <t>Shimeji spinach tofu</t>
        </is>
      </c>
      <c r="B105" t="inlineStr">
        <is>
          <t>Vegetable</t>
        </is>
      </c>
      <c r="C105">
        <f>IFERROR(IF(MAXIFS('Cook log'!A2:A1000,'Cook log'!C2:C1000,A105)=0,"",MAXIFS('Cook log'!A2:A1000,'Cook log'!C2:C1000,A105)),"")</f>
        <v/>
      </c>
      <c r="D105">
        <f>IF(C105="","",TODAY()-C105)</f>
        <v/>
      </c>
      <c r="E105">
        <f>COUNTIF('Cook log'!C2:C1000,A105)</f>
        <v/>
      </c>
      <c r="F105" t="n">
        <v>21</v>
      </c>
      <c r="G105">
        <f>IF(C105="","Never cooked",IF(D105&lt;F105,"Cooldown","Due"))</f>
        <v/>
      </c>
    </row>
    <row r="106">
      <c r="A106" t="inlineStr">
        <is>
          <t>Stir-fried eggplant and long bean with dried shrimp</t>
        </is>
      </c>
      <c r="B106" t="inlineStr">
        <is>
          <t>Vegetable</t>
        </is>
      </c>
      <c r="C106">
        <f>IFERROR(IF(MAXIFS('Cook log'!A2:A1000,'Cook log'!C2:C1000,A106)=0,"",MAXIFS('Cook log'!A2:A1000,'Cook log'!C2:C1000,A106)),"")</f>
        <v/>
      </c>
      <c r="D106">
        <f>IF(C106="","",TODAY()-C106)</f>
        <v/>
      </c>
      <c r="E106">
        <f>COUNTIF('Cook log'!C2:C1000,A106)</f>
        <v/>
      </c>
      <c r="F106" t="n">
        <v>21</v>
      </c>
      <c r="G106">
        <f>IF(C106="","Never cooked",IF(D106&lt;F106,"Cooldown","Due"))</f>
        <v/>
      </c>
    </row>
    <row r="107">
      <c r="A107" t="inlineStr">
        <is>
          <t>Spring onion beef stir fry</t>
        </is>
      </c>
      <c r="B107" t="inlineStr">
        <is>
          <t>Beef</t>
        </is>
      </c>
      <c r="C107">
        <f>IFERROR(IF(MAXIFS('Cook log'!A2:A1000,'Cook log'!C2:C1000,A107)=0,"",MAXIFS('Cook log'!A2:A1000,'Cook log'!C2:C1000,A107)),"")</f>
        <v/>
      </c>
      <c r="D107">
        <f>IF(C107="","",TODAY()-C107)</f>
        <v/>
      </c>
      <c r="E107">
        <f>COUNTIF('Cook log'!C2:C1000,A107)</f>
        <v/>
      </c>
      <c r="F107" t="n">
        <v>21</v>
      </c>
      <c r="G107">
        <f>IF(C107="","Never cooked",IF(D107&lt;F107,"Cooldown","Due"))</f>
        <v/>
      </c>
    </row>
    <row r="108">
      <c r="A108" t="inlineStr">
        <is>
          <t>Taiwanese fried rice</t>
        </is>
      </c>
      <c r="B108" t="inlineStr">
        <is>
          <t>Rice</t>
        </is>
      </c>
      <c r="C108">
        <f>IFERROR(IF(MAXIFS('Cook log'!A2:A1000,'Cook log'!C2:C1000,A108)=0,"",MAXIFS('Cook log'!A2:A1000,'Cook log'!C2:C1000,A108)),"")</f>
        <v/>
      </c>
      <c r="D108">
        <f>IF(C108="","",TODAY()-C108)</f>
        <v/>
      </c>
      <c r="E108">
        <f>COUNTIF('Cook log'!C2:C1000,A108)</f>
        <v/>
      </c>
      <c r="F108" t="n">
        <v>21</v>
      </c>
      <c r="G108">
        <f>IF(C108="","Never cooked",IF(D108&lt;F108,"Cooldown","Due"))</f>
        <v/>
      </c>
    </row>
    <row r="109">
      <c r="A109" t="inlineStr">
        <is>
          <t>Bolognese</t>
        </is>
      </c>
      <c r="B109" t="inlineStr">
        <is>
          <t>Western</t>
        </is>
      </c>
      <c r="C109">
        <f>IFERROR(IF(MAXIFS('Cook log'!A2:A1000,'Cook log'!C2:C1000,A109)=0,"",MAXIFS('Cook log'!A2:A1000,'Cook log'!C2:C1000,A109)),"")</f>
        <v/>
      </c>
      <c r="D109">
        <f>IF(C109="","",TODAY()-C109)</f>
        <v/>
      </c>
      <c r="E109">
        <f>COUNTIF('Cook log'!C2:C1000,A109)</f>
        <v/>
      </c>
      <c r="F109" t="n">
        <v>21</v>
      </c>
      <c r="G109">
        <f>IF(C109="","Never cooked",IF(D109&lt;F109,"Cooldown","Due"))</f>
        <v/>
      </c>
    </row>
    <row r="110">
      <c r="A110" t="inlineStr">
        <is>
          <t>Spicy gochujang noodles</t>
        </is>
      </c>
      <c r="B110" t="inlineStr">
        <is>
          <t>Noodle</t>
        </is>
      </c>
      <c r="C110">
        <f>IFERROR(IF(MAXIFS('Cook log'!A2:A1000,'Cook log'!C2:C1000,A110)=0,"",MAXIFS('Cook log'!A2:A1000,'Cook log'!C2:C1000,A110)),"")</f>
        <v/>
      </c>
      <c r="D110">
        <f>IF(C110="","",TODAY()-C110)</f>
        <v/>
      </c>
      <c r="E110">
        <f>COUNTIF('Cook log'!C2:C1000,A110)</f>
        <v/>
      </c>
      <c r="F110" t="n">
        <v>21</v>
      </c>
      <c r="G110">
        <f>IF(C110="","Never cooked",IF(D110&lt;F110,"Cooldown","Due"))</f>
        <v/>
      </c>
    </row>
    <row r="111">
      <c r="A111" t="inlineStr">
        <is>
          <t>Miso glazed eggplant</t>
        </is>
      </c>
      <c r="B111" t="inlineStr">
        <is>
          <t>Vegetable</t>
        </is>
      </c>
      <c r="C111">
        <f>IFERROR(IF(MAXIFS('Cook log'!A2:A1000,'Cook log'!C2:C1000,A111)=0,"",MAXIFS('Cook log'!A2:A1000,'Cook log'!C2:C1000,A111)),"")</f>
        <v/>
      </c>
      <c r="D111">
        <f>IF(C111="","",TODAY()-C111)</f>
        <v/>
      </c>
      <c r="E111">
        <f>COUNTIF('Cook log'!C2:C1000,A111)</f>
        <v/>
      </c>
      <c r="F111" t="n">
        <v>21</v>
      </c>
      <c r="G111">
        <f>IF(C111="","Never cooked",IF(D111&lt;F111,"Cooldown","Due"))</f>
        <v/>
      </c>
    </row>
    <row r="112">
      <c r="A112" t="inlineStr">
        <is>
          <t>Minestrone soup</t>
        </is>
      </c>
      <c r="B112" t="inlineStr">
        <is>
          <t>Western</t>
        </is>
      </c>
      <c r="C112">
        <f>IFERROR(IF(MAXIFS('Cook log'!A2:A1000,'Cook log'!C2:C1000,A112)=0,"",MAXIFS('Cook log'!A2:A1000,'Cook log'!C2:C1000,A112)),"")</f>
        <v/>
      </c>
      <c r="D112">
        <f>IF(C112="","",TODAY()-C112)</f>
        <v/>
      </c>
      <c r="E112">
        <f>COUNTIF('Cook log'!C2:C1000,A112)</f>
        <v/>
      </c>
      <c r="F112" t="n">
        <v>21</v>
      </c>
      <c r="G112">
        <f>IF(C112="","Never cooked",IF(D112&lt;F112,"Cooldown","Due"))</f>
        <v/>
      </c>
    </row>
    <row r="113">
      <c r="A113" t="inlineStr">
        <is>
          <t>Chinese yam and chicken soup</t>
        </is>
      </c>
      <c r="B113" t="inlineStr">
        <is>
          <t>Soup</t>
        </is>
      </c>
      <c r="C113">
        <f>IFERROR(IF(MAXIFS('Cook log'!A2:A1000,'Cook log'!C2:C1000,A113)=0,"",MAXIFS('Cook log'!A2:A1000,'Cook log'!C2:C1000,A113)),"")</f>
        <v/>
      </c>
      <c r="D113">
        <f>IF(C113="","",TODAY()-C113)</f>
        <v/>
      </c>
      <c r="E113">
        <f>COUNTIF('Cook log'!C2:C1000,A113)</f>
        <v/>
      </c>
      <c r="F113" t="n">
        <v>21</v>
      </c>
      <c r="G113">
        <f>IF(C113="","Never cooked",IF(D113&lt;F113,"Cooldown","Due"))</f>
        <v/>
      </c>
    </row>
    <row r="114">
      <c r="A114" t="inlineStr">
        <is>
          <t>Fishball and baby spinach soup</t>
        </is>
      </c>
      <c r="B114" t="inlineStr">
        <is>
          <t>Soup</t>
        </is>
      </c>
      <c r="C114">
        <f>IFERROR(IF(MAXIFS('Cook log'!A2:A1000,'Cook log'!C2:C1000,A114)=0,"",MAXIFS('Cook log'!A2:A1000,'Cook log'!C2:C1000,A114)),"")</f>
        <v/>
      </c>
      <c r="D114">
        <f>IF(C114="","",TODAY()-C114)</f>
        <v/>
      </c>
      <c r="E114">
        <f>COUNTIF('Cook log'!C2:C1000,A114)</f>
        <v/>
      </c>
      <c r="F114" t="n">
        <v>21</v>
      </c>
      <c r="G114">
        <f>IF(C114="","Never cooked",IF(D114&lt;F114,"Cooldown","Due"))</f>
        <v/>
      </c>
    </row>
    <row r="115">
      <c r="A115" t="inlineStr">
        <is>
          <t>Stir-fried potatoes &amp; carrots with minced meat</t>
        </is>
      </c>
      <c r="B115" t="inlineStr">
        <is>
          <t>Pork</t>
        </is>
      </c>
      <c r="C115">
        <f>IFERROR(IF(MAXIFS('Cook log'!A2:A1000,'Cook log'!C2:C1000,A115)=0,"",MAXIFS('Cook log'!A2:A1000,'Cook log'!C2:C1000,A115)),"")</f>
        <v/>
      </c>
      <c r="D115">
        <f>IF(C115="","",TODAY()-C115)</f>
        <v/>
      </c>
      <c r="E115">
        <f>COUNTIF('Cook log'!C2:C1000,A115)</f>
        <v/>
      </c>
      <c r="F115" t="n">
        <v>21</v>
      </c>
      <c r="G115">
        <f>IF(C115="","Never cooked",IF(D115&lt;F115,"Cooldown","Due"))</f>
        <v/>
      </c>
    </row>
    <row r="116">
      <c r="A116" t="inlineStr">
        <is>
          <t>Fried fish with Thai sweet chilli</t>
        </is>
      </c>
      <c r="B116" t="inlineStr">
        <is>
          <t>Fish</t>
        </is>
      </c>
      <c r="C116">
        <f>IFERROR(IF(MAXIFS('Cook log'!A2:A1000,'Cook log'!C2:C1000,A116)=0,"",MAXIFS('Cook log'!A2:A1000,'Cook log'!C2:C1000,A116)),"")</f>
        <v/>
      </c>
      <c r="D116">
        <f>IF(C116="","",TODAY()-C116)</f>
        <v/>
      </c>
      <c r="E116">
        <f>COUNTIF('Cook log'!C2:C1000,A116)</f>
        <v/>
      </c>
      <c r="F116" t="n">
        <v>21</v>
      </c>
      <c r="G116">
        <f>IF(C116="","Never cooked",IF(D116&lt;F116,"Cooldown","Due"))</f>
        <v/>
      </c>
    </row>
    <row r="117">
      <c r="A117" t="inlineStr">
        <is>
          <t>HK baked pork chop rice</t>
        </is>
      </c>
      <c r="B117" t="inlineStr">
        <is>
          <t>Rice</t>
        </is>
      </c>
      <c r="C117">
        <f>IFERROR(IF(MAXIFS('Cook log'!A2:A1000,'Cook log'!C2:C1000,A117)=0,"",MAXIFS('Cook log'!A2:A1000,'Cook log'!C2:C1000,A117)),"")</f>
        <v/>
      </c>
      <c r="D117">
        <f>IF(C117="","",TODAY()-C117)</f>
        <v/>
      </c>
      <c r="E117">
        <f>COUNTIF('Cook log'!C2:C1000,A117)</f>
        <v/>
      </c>
      <c r="F117" t="n">
        <v>21</v>
      </c>
      <c r="G117">
        <f>IF(C117="","Never cooked",IF(D117&lt;F117,"Cooldown","Due"))</f>
        <v/>
      </c>
    </row>
    <row r="118">
      <c r="A118" t="inlineStr">
        <is>
          <t>Shepherd's pie</t>
        </is>
      </c>
      <c r="B118" t="inlineStr">
        <is>
          <t>Western</t>
        </is>
      </c>
      <c r="C118">
        <f>IFERROR(IF(MAXIFS('Cook log'!A2:A1000,'Cook log'!C2:C1000,A118)=0,"",MAXIFS('Cook log'!A2:A1000,'Cook log'!C2:C1000,A118)),"")</f>
        <v/>
      </c>
      <c r="D118">
        <f>IF(C118="","",TODAY()-C118)</f>
        <v/>
      </c>
      <c r="E118">
        <f>COUNTIF('Cook log'!C2:C1000,A118)</f>
        <v/>
      </c>
      <c r="F118" t="n">
        <v>21</v>
      </c>
      <c r="G118">
        <f>IF(C118="","Never cooked",IF(D118&lt;F118,"Cooldown","Due"))</f>
        <v/>
      </c>
    </row>
    <row r="119">
      <c r="A119" t="inlineStr">
        <is>
          <t>Potato gratin</t>
        </is>
      </c>
      <c r="B119" t="inlineStr">
        <is>
          <t>Side</t>
        </is>
      </c>
      <c r="C119">
        <f>IFERROR(IF(MAXIFS('Cook log'!A2:A1000,'Cook log'!C2:C1000,A119)=0,"",MAXIFS('Cook log'!A2:A1000,'Cook log'!C2:C1000,A119)),"")</f>
        <v/>
      </c>
      <c r="D119">
        <f>IF(C119="","",TODAY()-C119)</f>
        <v/>
      </c>
      <c r="E119">
        <f>COUNTIF('Cook log'!C2:C1000,A119)</f>
        <v/>
      </c>
      <c r="F119" t="n">
        <v>21</v>
      </c>
      <c r="G119">
        <f>IF(C119="","Never cooked",IF(D119&lt;F119,"Cooldown","Due"))</f>
        <v/>
      </c>
    </row>
    <row r="120">
      <c r="A120" t="inlineStr">
        <is>
          <t>Oven baked chicken leg</t>
        </is>
      </c>
      <c r="B120" t="inlineStr">
        <is>
          <t>Chicken</t>
        </is>
      </c>
      <c r="C120">
        <f>IFERROR(IF(MAXIFS('Cook log'!A2:A1000,'Cook log'!C2:C1000,A120)=0,"",MAXIFS('Cook log'!A2:A1000,'Cook log'!C2:C1000,A120)),"")</f>
        <v/>
      </c>
      <c r="D120">
        <f>IF(C120="","",TODAY()-C120)</f>
        <v/>
      </c>
      <c r="E120">
        <f>COUNTIF('Cook log'!C2:C1000,A120)</f>
        <v/>
      </c>
      <c r="F120" t="n">
        <v>21</v>
      </c>
      <c r="G120">
        <f>IF(C120="","Never cooked",IF(D120&lt;F120,"Cooldown","Due"))</f>
        <v/>
      </c>
    </row>
    <row r="121">
      <c r="A121" t="inlineStr">
        <is>
          <t>Baked potatoes</t>
        </is>
      </c>
      <c r="B121" t="inlineStr">
        <is>
          <t>Side</t>
        </is>
      </c>
      <c r="C121">
        <f>IFERROR(IF(MAXIFS('Cook log'!A2:A1000,'Cook log'!C2:C1000,A121)=0,"",MAXIFS('Cook log'!A2:A1000,'Cook log'!C2:C1000,A121)),"")</f>
        <v/>
      </c>
      <c r="D121">
        <f>IF(C121="","",TODAY()-C121)</f>
        <v/>
      </c>
      <c r="E121">
        <f>COUNTIF('Cook log'!C2:C1000,A121)</f>
        <v/>
      </c>
      <c r="F121" t="n">
        <v>21</v>
      </c>
      <c r="G121">
        <f>IF(C121="","Never cooked",IF(D121&lt;F121,"Cooldown","Due"))</f>
        <v/>
      </c>
    </row>
    <row r="122">
      <c r="A122" t="inlineStr">
        <is>
          <t>Aligot</t>
        </is>
      </c>
      <c r="B122" t="inlineStr">
        <is>
          <t>Side</t>
        </is>
      </c>
      <c r="C122">
        <f>IFERROR(IF(MAXIFS('Cook log'!A2:A1000,'Cook log'!C2:C1000,A122)=0,"",MAXIFS('Cook log'!A2:A1000,'Cook log'!C2:C1000,A122)),"")</f>
        <v/>
      </c>
      <c r="D122">
        <f>IF(C122="","",TODAY()-C122)</f>
        <v/>
      </c>
      <c r="E122">
        <f>COUNTIF('Cook log'!C2:C1000,A122)</f>
        <v/>
      </c>
      <c r="F122" t="n">
        <v>21</v>
      </c>
      <c r="G122">
        <f>IF(C122="","Never cooked",IF(D122&lt;F122,"Cooldown","Due"))</f>
        <v/>
      </c>
    </row>
    <row r="123">
      <c r="A123" t="inlineStr">
        <is>
          <t>Baked pork chops</t>
        </is>
      </c>
      <c r="B123" t="inlineStr">
        <is>
          <t>Pork</t>
        </is>
      </c>
      <c r="C123">
        <f>IFERROR(IF(MAXIFS('Cook log'!A2:A1000,'Cook log'!C2:C1000,A123)=0,"",MAXIFS('Cook log'!A2:A1000,'Cook log'!C2:C1000,A123)),"")</f>
        <v/>
      </c>
      <c r="D123">
        <f>IF(C123="","",TODAY()-C123)</f>
        <v/>
      </c>
      <c r="E123">
        <f>COUNTIF('Cook log'!C2:C1000,A123)</f>
        <v/>
      </c>
      <c r="F123" t="n">
        <v>21</v>
      </c>
      <c r="G123">
        <f>IF(C123="","Never cooked",IF(D123&lt;F123,"Cooldown","Due"))</f>
        <v/>
      </c>
    </row>
    <row r="124">
      <c r="A124" t="inlineStr">
        <is>
          <t>Japanese curry rice</t>
        </is>
      </c>
      <c r="B124" t="inlineStr">
        <is>
          <t>Rice</t>
        </is>
      </c>
      <c r="C124">
        <f>IFERROR(IF(MAXIFS('Cook log'!A2:A1000,'Cook log'!C2:C1000,A124)=0,"",MAXIFS('Cook log'!A2:A1000,'Cook log'!C2:C1000,A124)),"")</f>
        <v/>
      </c>
      <c r="D124">
        <f>IF(C124="","",TODAY()-C124)</f>
        <v/>
      </c>
      <c r="E124">
        <f>COUNTIF('Cook log'!C2:C1000,A124)</f>
        <v/>
      </c>
      <c r="F124" t="n">
        <v>21</v>
      </c>
      <c r="G124">
        <f>IF(C124="","Never cooked",IF(D124&lt;F124,"Cooldown","Due"))</f>
        <v/>
      </c>
    </row>
    <row r="125">
      <c r="A125" t="inlineStr">
        <is>
          <t>Campbell's mushroom soup</t>
        </is>
      </c>
      <c r="B125" t="inlineStr">
        <is>
          <t>Soup</t>
        </is>
      </c>
      <c r="C125">
        <f>IFERROR(IF(MAXIFS('Cook log'!A2:A1000,'Cook log'!C2:C1000,A125)=0,"",MAXIFS('Cook log'!A2:A1000,'Cook log'!C2:C1000,A125)),"")</f>
        <v/>
      </c>
      <c r="D125">
        <f>IF(C125="","",TODAY()-C125)</f>
        <v/>
      </c>
      <c r="E125">
        <f>COUNTIF('Cook log'!C2:C1000,A125)</f>
        <v/>
      </c>
      <c r="F125" t="n">
        <v>21</v>
      </c>
      <c r="G125">
        <f>IF(C125="","Never cooked",IF(D125&lt;F125,"Cooldown","Due"))</f>
        <v/>
      </c>
    </row>
    <row r="126">
      <c r="A126" t="inlineStr">
        <is>
          <t>Grilled asparagus</t>
        </is>
      </c>
      <c r="B126" t="inlineStr">
        <is>
          <t>Vegetable</t>
        </is>
      </c>
      <c r="C126">
        <f>IFERROR(IF(MAXIFS('Cook log'!A2:A1000,'Cook log'!C2:C1000,A126)=0,"",MAXIFS('Cook log'!A2:A1000,'Cook log'!C2:C1000,A126)),"")</f>
        <v/>
      </c>
      <c r="D126">
        <f>IF(C126="","",TODAY()-C126)</f>
        <v/>
      </c>
      <c r="E126">
        <f>COUNTIF('Cook log'!C2:C1000,A126)</f>
        <v/>
      </c>
      <c r="F126" t="n">
        <v>21</v>
      </c>
      <c r="G126">
        <f>IF(C126="","Never cooked",IF(D126&lt;F126,"Cooldown","Due"))</f>
        <v/>
      </c>
    </row>
    <row r="127">
      <c r="A127" t="inlineStr">
        <is>
          <t>Grilled broccoli &amp; carrots</t>
        </is>
      </c>
      <c r="B127" t="inlineStr">
        <is>
          <t>Vegetable</t>
        </is>
      </c>
      <c r="C127">
        <f>IFERROR(IF(MAXIFS('Cook log'!A2:A1000,'Cook log'!C2:C1000,A127)=0,"",MAXIFS('Cook log'!A2:A1000,'Cook log'!C2:C1000,A127)),"")</f>
        <v/>
      </c>
      <c r="D127">
        <f>IF(C127="","",TODAY()-C127)</f>
        <v/>
      </c>
      <c r="E127">
        <f>COUNTIF('Cook log'!C2:C1000,A127)</f>
        <v/>
      </c>
      <c r="F127" t="n">
        <v>21</v>
      </c>
      <c r="G127">
        <f>IF(C127="","Never cooked",IF(D127&lt;F127,"Cooldown","Due"))</f>
        <v/>
      </c>
    </row>
    <row r="128">
      <c r="A128" t="inlineStr">
        <is>
          <t>Crispy roast potatoes</t>
        </is>
      </c>
      <c r="B128" t="inlineStr">
        <is>
          <t>Side</t>
        </is>
      </c>
      <c r="C128">
        <f>IFERROR(IF(MAXIFS('Cook log'!A2:A1000,'Cook log'!C2:C1000,A128)=0,"",MAXIFS('Cook log'!A2:A1000,'Cook log'!C2:C1000,A128)),"")</f>
        <v/>
      </c>
      <c r="D128">
        <f>IF(C128="","",TODAY()-C128)</f>
        <v/>
      </c>
      <c r="E128">
        <f>COUNTIF('Cook log'!C2:C1000,A128)</f>
        <v/>
      </c>
      <c r="F128" t="n">
        <v>21</v>
      </c>
      <c r="G128">
        <f>IF(C128="","Never cooked",IF(D128&lt;F128,"Cooldown","Due"))</f>
        <v/>
      </c>
    </row>
    <row r="129">
      <c r="A129" t="inlineStr">
        <is>
          <t>Pasta arrabbiata</t>
        </is>
      </c>
      <c r="B129" t="inlineStr">
        <is>
          <t>Western</t>
        </is>
      </c>
      <c r="C129">
        <f>IFERROR(IF(MAXIFS('Cook log'!A2:A1000,'Cook log'!C2:C1000,A129)=0,"",MAXIFS('Cook log'!A2:A1000,'Cook log'!C2:C1000,A129)),"")</f>
        <v/>
      </c>
      <c r="D129">
        <f>IF(C129="","",TODAY()-C129)</f>
        <v/>
      </c>
      <c r="E129">
        <f>COUNTIF('Cook log'!C2:C1000,A129)</f>
        <v/>
      </c>
      <c r="F129" t="n">
        <v>21</v>
      </c>
      <c r="G129">
        <f>IF(C129="","Never cooked",IF(D129&lt;F129,"Cooldown","Due"))</f>
        <v/>
      </c>
    </row>
    <row r="130">
      <c r="A130" t="inlineStr">
        <is>
          <t>Pulled pork burger</t>
        </is>
      </c>
      <c r="B130" t="inlineStr">
        <is>
          <t>Pork</t>
        </is>
      </c>
      <c r="C130">
        <f>IFERROR(IF(MAXIFS('Cook log'!A2:A1000,'Cook log'!C2:C1000,A130)=0,"",MAXIFS('Cook log'!A2:A1000,'Cook log'!C2:C1000,A130)),"")</f>
        <v/>
      </c>
      <c r="D130">
        <f>IF(C130="","",TODAY()-C130)</f>
        <v/>
      </c>
      <c r="E130">
        <f>COUNTIF('Cook log'!C2:C1000,A130)</f>
        <v/>
      </c>
      <c r="F130" t="n">
        <v>21</v>
      </c>
      <c r="G130">
        <f>IF(C130="","Never cooked",IF(D130&lt;F130,"Cooldown","Due"))</f>
        <v/>
      </c>
    </row>
    <row r="131">
      <c r="A131" t="inlineStr">
        <is>
          <t>Spanish omelette</t>
        </is>
      </c>
      <c r="B131" t="inlineStr">
        <is>
          <t>Egg</t>
        </is>
      </c>
      <c r="C131">
        <f>IFERROR(IF(MAXIFS('Cook log'!A2:A1000,'Cook log'!C2:C1000,A131)=0,"",MAXIFS('Cook log'!A2:A1000,'Cook log'!C2:C1000,A131)),"")</f>
        <v/>
      </c>
      <c r="D131">
        <f>IF(C131="","",TODAY()-C131)</f>
        <v/>
      </c>
      <c r="E131">
        <f>COUNTIF('Cook log'!C2:C1000,A131)</f>
        <v/>
      </c>
      <c r="F131" t="n">
        <v>21</v>
      </c>
      <c r="G131">
        <f>IF(C131="","Never cooked",IF(D131&lt;F131,"Cooldown","Due"))</f>
        <v/>
      </c>
    </row>
    <row r="132">
      <c r="A132" t="inlineStr">
        <is>
          <t>Luncheon meat &amp; potatoes</t>
        </is>
      </c>
      <c r="B132" t="inlineStr">
        <is>
          <t>Pork</t>
        </is>
      </c>
      <c r="C132">
        <f>IFERROR(IF(MAXIFS('Cook log'!A2:A1000,'Cook log'!C2:C1000,A132)=0,"",MAXIFS('Cook log'!A2:A1000,'Cook log'!C2:C1000,A132)),"")</f>
        <v/>
      </c>
      <c r="D132">
        <f>IF(C132="","",TODAY()-C132)</f>
        <v/>
      </c>
      <c r="E132">
        <f>COUNTIF('Cook log'!C2:C1000,A132)</f>
        <v/>
      </c>
      <c r="F132" t="n">
        <v>21</v>
      </c>
      <c r="G132">
        <f>IF(C132="","Never cooked",IF(D132&lt;F132,"Cooldown","Due"))</f>
        <v/>
      </c>
    </row>
    <row r="133">
      <c r="A133" t="inlineStr">
        <is>
          <t>Frozen prata</t>
        </is>
      </c>
      <c r="B133" t="inlineStr">
        <is>
          <t>Side</t>
        </is>
      </c>
      <c r="C133">
        <f>IFERROR(IF(MAXIFS('Cook log'!A2:A1000,'Cook log'!C2:C1000,A133)=0,"",MAXIFS('Cook log'!A2:A1000,'Cook log'!C2:C1000,A133)),"")</f>
        <v/>
      </c>
      <c r="D133">
        <f>IF(C133="","",TODAY()-C133)</f>
        <v/>
      </c>
      <c r="E133">
        <f>COUNTIF('Cook log'!C2:C1000,A133)</f>
        <v/>
      </c>
      <c r="F133" t="n">
        <v>21</v>
      </c>
      <c r="G133">
        <f>IF(C133="","Never cooked",IF(D133&lt;F133,"Cooldown","Due"))</f>
        <v/>
      </c>
    </row>
    <row r="134">
      <c r="A134" t="inlineStr">
        <is>
          <t>Padang chicken curry</t>
        </is>
      </c>
      <c r="B134" t="inlineStr">
        <is>
          <t>Chicken</t>
        </is>
      </c>
      <c r="C134">
        <f>IFERROR(IF(MAXIFS('Cook log'!A2:A1000,'Cook log'!C2:C1000,A134)=0,"",MAXIFS('Cook log'!A2:A1000,'Cook log'!C2:C1000,A134)),"")</f>
        <v/>
      </c>
      <c r="D134">
        <f>IF(C134="","",TODAY()-C134)</f>
        <v/>
      </c>
      <c r="E134">
        <f>COUNTIF('Cook log'!C2:C1000,A134)</f>
        <v/>
      </c>
      <c r="F134" t="n">
        <v>21</v>
      </c>
      <c r="G134">
        <f>IF(C134="","Never cooked",IF(D134&lt;F134,"Cooldown","Due"))</f>
        <v/>
      </c>
    </row>
    <row r="135">
      <c r="A135" t="inlineStr">
        <is>
          <t>Sambal long beans</t>
        </is>
      </c>
      <c r="B135" t="inlineStr">
        <is>
          <t>Vegetable</t>
        </is>
      </c>
      <c r="C135">
        <f>IFERROR(IF(MAXIFS('Cook log'!A2:A1000,'Cook log'!C2:C1000,A135)=0,"",MAXIFS('Cook log'!A2:A1000,'Cook log'!C2:C1000,A135)),"")</f>
        <v/>
      </c>
      <c r="D135">
        <f>IF(C135="","",TODAY()-C135)</f>
        <v/>
      </c>
      <c r="E135">
        <f>COUNTIF('Cook log'!C2:C1000,A135)</f>
        <v/>
      </c>
      <c r="F135" t="n">
        <v>21</v>
      </c>
      <c r="G135">
        <f>IF(C135="","Never cooked",IF(D135&lt;F135,"Cooldown","Due"))</f>
        <v/>
      </c>
    </row>
    <row r="136">
      <c r="A136" t="inlineStr">
        <is>
          <t>Begedil</t>
        </is>
      </c>
      <c r="B136" t="inlineStr">
        <is>
          <t>Side</t>
        </is>
      </c>
      <c r="C136">
        <f>IFERROR(IF(MAXIFS('Cook log'!A2:A1000,'Cook log'!C2:C1000,A136)=0,"",MAXIFS('Cook log'!A2:A1000,'Cook log'!C2:C1000,A136)),"")</f>
        <v/>
      </c>
      <c r="D136">
        <f>IF(C136="","",TODAY()-C136)</f>
        <v/>
      </c>
      <c r="E136">
        <f>COUNTIF('Cook log'!C2:C1000,A136)</f>
        <v/>
      </c>
      <c r="F136" t="n">
        <v>21</v>
      </c>
      <c r="G136">
        <f>IF(C136="","Never cooked",IF(D136&lt;F136,"Cooldown","Due"))</f>
        <v/>
      </c>
    </row>
    <row r="137">
      <c r="A137" t="inlineStr">
        <is>
          <t>Grilled cheese</t>
        </is>
      </c>
      <c r="B137" t="inlineStr">
        <is>
          <t>Western</t>
        </is>
      </c>
      <c r="C137">
        <f>IFERROR(IF(MAXIFS('Cook log'!A2:A1000,'Cook log'!C2:C1000,A137)=0,"",MAXIFS('Cook log'!A2:A1000,'Cook log'!C2:C1000,A137)),"")</f>
        <v/>
      </c>
      <c r="D137">
        <f>IF(C137="","",TODAY()-C137)</f>
        <v/>
      </c>
      <c r="E137">
        <f>COUNTIF('Cook log'!C2:C1000,A137)</f>
        <v/>
      </c>
      <c r="F137" t="n">
        <v>21</v>
      </c>
      <c r="G137">
        <f>IF(C137="","Never cooked",IF(D137&lt;F137,"Cooldown","Due"))</f>
        <v/>
      </c>
    </row>
    <row r="138">
      <c r="A138" t="inlineStr">
        <is>
          <t>Tomato soup</t>
        </is>
      </c>
      <c r="B138" t="inlineStr">
        <is>
          <t>Soup</t>
        </is>
      </c>
      <c r="C138">
        <f>IFERROR(IF(MAXIFS('Cook log'!A2:A1000,'Cook log'!C2:C1000,A138)=0,"",MAXIFS('Cook log'!A2:A1000,'Cook log'!C2:C1000,A138)),"")</f>
        <v/>
      </c>
      <c r="D138">
        <f>IF(C138="","",TODAY()-C138)</f>
        <v/>
      </c>
      <c r="E138">
        <f>COUNTIF('Cook log'!C2:C1000,A138)</f>
        <v/>
      </c>
      <c r="F138" t="n">
        <v>21</v>
      </c>
      <c r="G138">
        <f>IF(C138="","Never cooked",IF(D138&lt;F138,"Cooldown","Due"))</f>
        <v/>
      </c>
    </row>
    <row r="139">
      <c r="A139" t="inlineStr">
        <is>
          <t>Fries</t>
        </is>
      </c>
      <c r="B139" t="inlineStr">
        <is>
          <t>Side</t>
        </is>
      </c>
      <c r="C139">
        <f>IFERROR(IF(MAXIFS('Cook log'!A2:A1000,'Cook log'!C2:C1000,A139)=0,"",MAXIFS('Cook log'!A2:A1000,'Cook log'!C2:C1000,A139)),"")</f>
        <v/>
      </c>
      <c r="D139">
        <f>IF(C139="","",TODAY()-C139)</f>
        <v/>
      </c>
      <c r="E139">
        <f>COUNTIF('Cook log'!C2:C1000,A139)</f>
        <v/>
      </c>
      <c r="F139" t="n">
        <v>21</v>
      </c>
      <c r="G139">
        <f>IF(C139="","Never cooked",IF(D139&lt;F139,"Cooldown","Due"))</f>
        <v/>
      </c>
    </row>
    <row r="140">
      <c r="A140" t="inlineStr">
        <is>
          <t>Braised pork with tofu and egg (Tau Yu Bak)</t>
        </is>
      </c>
      <c r="B140" t="inlineStr">
        <is>
          <t>Pork</t>
        </is>
      </c>
      <c r="C140">
        <f>IFERROR(IF(MAXIFS('Cook log'!A2:A1000,'Cook log'!C2:C1000,A140)=0,"",MAXIFS('Cook log'!A2:A1000,'Cook log'!C2:C1000,A140)),"")</f>
        <v/>
      </c>
      <c r="D140">
        <f>IF(C140="","",TODAY()-C140)</f>
        <v/>
      </c>
      <c r="E140">
        <f>COUNTIF('Cook log'!C2:C1000,A140)</f>
        <v/>
      </c>
      <c r="F140" t="n">
        <v>21</v>
      </c>
      <c r="G140">
        <f>IF(C140="","Never cooked",IF(D140&lt;F140,"Cooldown","Due"))</f>
        <v/>
      </c>
    </row>
    <row r="141">
      <c r="A141" t="inlineStr">
        <is>
          <t>Dry laksa</t>
        </is>
      </c>
      <c r="B141" t="inlineStr">
        <is>
          <t>Noodle</t>
        </is>
      </c>
      <c r="C141">
        <f>IFERROR(IF(MAXIFS('Cook log'!A2:A1000,'Cook log'!C2:C1000,A141)=0,"",MAXIFS('Cook log'!A2:A1000,'Cook log'!C2:C1000,A141)),"")</f>
        <v/>
      </c>
      <c r="D141">
        <f>IF(C141="","",TODAY()-C141)</f>
        <v/>
      </c>
      <c r="E141">
        <f>COUNTIF('Cook log'!C2:C1000,A141)</f>
        <v/>
      </c>
      <c r="F141" t="n">
        <v>21</v>
      </c>
      <c r="G141">
        <f>IF(C141="","Never cooked",IF(D141&lt;F141,"Cooldown","Due"))</f>
        <v/>
      </c>
    </row>
    <row r="142">
      <c r="A142" t="inlineStr">
        <is>
          <t>Japanese hamburg patty</t>
        </is>
      </c>
      <c r="B142" t="inlineStr">
        <is>
          <t>Beef</t>
        </is>
      </c>
      <c r="C142">
        <f>IFERROR(IF(MAXIFS('Cook log'!A2:A1000,'Cook log'!C2:C1000,A142)=0,"",MAXIFS('Cook log'!A2:A1000,'Cook log'!C2:C1000,A142)),"")</f>
        <v/>
      </c>
      <c r="D142">
        <f>IF(C142="","",TODAY()-C142)</f>
        <v/>
      </c>
      <c r="E142">
        <f>COUNTIF('Cook log'!C2:C1000,A142)</f>
        <v/>
      </c>
      <c r="F142" t="n">
        <v>21</v>
      </c>
      <c r="G142">
        <f>IF(C142="","Never cooked",IF(D142&lt;F142,"Cooldown","Due"))</f>
        <v/>
      </c>
    </row>
    <row r="143">
      <c r="A143" t="inlineStr">
        <is>
          <t>Dry mee siam</t>
        </is>
      </c>
      <c r="B143" t="inlineStr">
        <is>
          <t>Noodle</t>
        </is>
      </c>
      <c r="C143">
        <f>IFERROR(IF(MAXIFS('Cook log'!A2:A1000,'Cook log'!C2:C1000,A143)=0,"",MAXIFS('Cook log'!A2:A1000,'Cook log'!C2:C1000,A143)),"")</f>
        <v/>
      </c>
      <c r="D143">
        <f>IF(C143="","",TODAY()-C143)</f>
        <v/>
      </c>
      <c r="E143">
        <f>COUNTIF('Cook log'!C2:C1000,A143)</f>
        <v/>
      </c>
      <c r="F143" t="n">
        <v>21</v>
      </c>
      <c r="G143">
        <f>IF(C143="","Never cooked",IF(D143&lt;F143,"Cooldown","Due"))</f>
        <v/>
      </c>
    </row>
    <row r="144">
      <c r="A144" t="inlineStr">
        <is>
          <t>Chicken curry</t>
        </is>
      </c>
      <c r="B144" t="inlineStr">
        <is>
          <t>Chicken</t>
        </is>
      </c>
      <c r="C144">
        <f>IFERROR(IF(MAXIFS('Cook log'!A2:A1000,'Cook log'!C2:C1000,A144)=0,"",MAXIFS('Cook log'!A2:A1000,'Cook log'!C2:C1000,A144)),"")</f>
        <v/>
      </c>
      <c r="D144">
        <f>IF(C144="","",TODAY()-C144)</f>
        <v/>
      </c>
      <c r="E144">
        <f>COUNTIF('Cook log'!C2:C1000,A144)</f>
        <v/>
      </c>
      <c r="F144" t="n">
        <v>21</v>
      </c>
      <c r="G144">
        <f>IF(C144="","Never cooked",IF(D144&lt;F144,"Cooldown","Due"))</f>
        <v/>
      </c>
    </row>
    <row r="145">
      <c r="A145" t="inlineStr">
        <is>
          <t>Baby back ribs</t>
        </is>
      </c>
      <c r="B145" t="inlineStr">
        <is>
          <t>Pork</t>
        </is>
      </c>
      <c r="C145">
        <f>IFERROR(IF(MAXIFS('Cook log'!A2:A1000,'Cook log'!C2:C1000,A145)=0,"",MAXIFS('Cook log'!A2:A1000,'Cook log'!C2:C1000,A145)),"")</f>
        <v/>
      </c>
      <c r="D145">
        <f>IF(C145="","",TODAY()-C145)</f>
        <v/>
      </c>
      <c r="E145">
        <f>COUNTIF('Cook log'!C2:C1000,A145)</f>
        <v/>
      </c>
      <c r="F145" t="n">
        <v>21</v>
      </c>
      <c r="G145">
        <f>IF(C145="","Never cooked",IF(D145&lt;F145,"Cooldown","Due"))</f>
        <v/>
      </c>
    </row>
    <row r="146">
      <c r="A146" t="inlineStr">
        <is>
          <t>Cornbread</t>
        </is>
      </c>
      <c r="B146" t="inlineStr">
        <is>
          <t>Side</t>
        </is>
      </c>
      <c r="C146">
        <f>IFERROR(IF(MAXIFS('Cook log'!A2:A1000,'Cook log'!C2:C1000,A146)=0,"",MAXIFS('Cook log'!A2:A1000,'Cook log'!C2:C1000,A146)),"")</f>
        <v/>
      </c>
      <c r="D146">
        <f>IF(C146="","",TODAY()-C146)</f>
        <v/>
      </c>
      <c r="E146">
        <f>COUNTIF('Cook log'!C2:C1000,A146)</f>
        <v/>
      </c>
      <c r="F146" t="n">
        <v>21</v>
      </c>
      <c r="G146">
        <f>IF(C146="","Never cooked",IF(D146&lt;F146,"Cooldown","Due"))</f>
        <v/>
      </c>
    </row>
    <row r="147">
      <c r="A147" t="inlineStr">
        <is>
          <t>Creamed spinach</t>
        </is>
      </c>
      <c r="B147" t="inlineStr">
        <is>
          <t>Vegetable</t>
        </is>
      </c>
      <c r="C147">
        <f>IFERROR(IF(MAXIFS('Cook log'!A2:A1000,'Cook log'!C2:C1000,A147)=0,"",MAXIFS('Cook log'!A2:A1000,'Cook log'!C2:C1000,A147)),"")</f>
        <v/>
      </c>
      <c r="D147">
        <f>IF(C147="","",TODAY()-C147)</f>
        <v/>
      </c>
      <c r="E147">
        <f>COUNTIF('Cook log'!C2:C1000,A147)</f>
        <v/>
      </c>
      <c r="F147" t="n">
        <v>21</v>
      </c>
      <c r="G147">
        <f>IF(C147="","Never cooked",IF(D147&lt;F147,"Cooldown","Due"))</f>
        <v/>
      </c>
    </row>
    <row r="148">
      <c r="A148" t="inlineStr">
        <is>
          <t>Steamed rice</t>
        </is>
      </c>
      <c r="B148" t="inlineStr">
        <is>
          <t>Rice</t>
        </is>
      </c>
      <c r="C148">
        <f>IFERROR(IF(MAXIFS('Cook log'!A2:A1000,'Cook log'!C2:C1000,A148)=0,"",MAXIFS('Cook log'!A2:A1000,'Cook log'!C2:C1000,A148)),"")</f>
        <v/>
      </c>
      <c r="D148">
        <f>IF(C148="","",TODAY()-C148)</f>
        <v/>
      </c>
      <c r="E148">
        <f>COUNTIF('Cook log'!C2:C1000,A148)</f>
        <v/>
      </c>
      <c r="F148" t="n">
        <v>14</v>
      </c>
      <c r="G148">
        <f>IF(C148="","Never cooked",IF(D148&lt;F148,"Cooldown","Due"))</f>
        <v/>
      </c>
    </row>
    <row r="149">
      <c r="A149" t="inlineStr">
        <is>
          <t>Bread</t>
        </is>
      </c>
      <c r="B149" t="inlineStr">
        <is>
          <t>Side</t>
        </is>
      </c>
      <c r="C149">
        <f>IFERROR(IF(MAXIFS('Cook log'!A2:A1000,'Cook log'!C2:C1000,A149)=0,"",MAXIFS('Cook log'!A2:A1000,'Cook log'!C2:C1000,A149)),"")</f>
        <v/>
      </c>
      <c r="D149">
        <f>IF(C149="","",TODAY()-C149)</f>
        <v/>
      </c>
      <c r="E149">
        <f>COUNTIF('Cook log'!C2:C1000,A149)</f>
        <v/>
      </c>
      <c r="F149" t="n">
        <v>14</v>
      </c>
      <c r="G149">
        <f>IF(C149="","Never cooked",IF(D149&lt;F149,"Cooldown","Due"))</f>
        <v/>
      </c>
    </row>
    <row r="150">
      <c r="A150" t="inlineStr">
        <is>
          <t>Hokkien hai fan (ah gong)</t>
        </is>
      </c>
      <c r="B150" t="inlineStr">
        <is>
          <t>Rice</t>
        </is>
      </c>
      <c r="C150">
        <f>IFERROR(IF(MAXIFS('Cook log'!A2:A1000,'Cook log'!C2:C1000,A150)=0,"",MAXIFS('Cook log'!A2:A1000,'Cook log'!C2:C1000,A150)),"")</f>
        <v/>
      </c>
      <c r="D150">
        <f>IF(C150="","",TODAY()-C150)</f>
        <v/>
      </c>
      <c r="E150">
        <f>COUNTIF('Cook log'!C2:C1000,A150)</f>
        <v/>
      </c>
      <c r="F150" t="n">
        <v>21</v>
      </c>
      <c r="G150">
        <f>IF(C150="","Never cooked",IF(D150&lt;F150,"Cooldown","Due"))</f>
        <v/>
      </c>
    </row>
    <row r="151">
      <c r="A151" t="inlineStr">
        <is>
          <t>Stir-fried baby bok choy</t>
        </is>
      </c>
      <c r="B151" t="inlineStr">
        <is>
          <t>Vegetable</t>
        </is>
      </c>
      <c r="C151">
        <f>IFERROR(IF(MAXIFS('Cook log'!A2:A1000,'Cook log'!C2:C1000,A151)=0,"",MAXIFS('Cook log'!A2:A1000,'Cook log'!C2:C1000,A151)),"")</f>
        <v/>
      </c>
      <c r="D151">
        <f>IF(C151="","",TODAY()-C151)</f>
        <v/>
      </c>
      <c r="E151">
        <f>COUNTIF('Cook log'!C2:C1000,A151)</f>
        <v/>
      </c>
      <c r="F151" t="n">
        <v>14</v>
      </c>
      <c r="G151">
        <f>IF(C151="","Never cooked",IF(D151&lt;F151,"Cooldown","Due"))</f>
        <v/>
      </c>
    </row>
    <row r="152">
      <c r="A152" t="inlineStr">
        <is>
          <t>Cheese sausage</t>
        </is>
      </c>
      <c r="B152" t="inlineStr">
        <is>
          <t>Other</t>
        </is>
      </c>
      <c r="C152">
        <f>IFERROR(IF(MAXIFS('Cook log'!A2:A1000,'Cook log'!C2:C1000,A152)=0,"",MAXIFS('Cook log'!A2:A1000,'Cook log'!C2:C1000,A152)),"")</f>
        <v/>
      </c>
      <c r="D152">
        <f>IF(C152="","",TODAY()-C152)</f>
        <v/>
      </c>
      <c r="E152">
        <f>COUNTIF('Cook log'!C2:C1000,A152)</f>
        <v/>
      </c>
      <c r="F152" t="n">
        <v>14</v>
      </c>
      <c r="G152">
        <f>IF(C152="","Never cooked",IF(D152&lt;F152,"Cooldown","Due"))</f>
        <v/>
      </c>
    </row>
    <row r="153">
      <c r="A153" t="inlineStr">
        <is>
          <t>Egg fried rice with char siew</t>
        </is>
      </c>
      <c r="B153" t="inlineStr">
        <is>
          <t>Rice</t>
        </is>
      </c>
      <c r="C153">
        <f>IFERROR(IF(MAXIFS('Cook log'!A2:A1000,'Cook log'!C2:C1000,A153)=0,"",MAXIFS('Cook log'!A2:A1000,'Cook log'!C2:C1000,A153)),"")</f>
        <v/>
      </c>
      <c r="D153">
        <f>IF(C153="","",TODAY()-C153)</f>
        <v/>
      </c>
      <c r="E153">
        <f>COUNTIF('Cook log'!C2:C1000,A153)</f>
        <v/>
      </c>
      <c r="F153" t="n">
        <v>21</v>
      </c>
      <c r="G153">
        <f>IF(C153="","Never cooked",IF(D153&lt;F153,"Cooldown","Due"))</f>
        <v/>
      </c>
    </row>
    <row r="154">
      <c r="A154" t="inlineStr">
        <is>
          <t>Udon</t>
        </is>
      </c>
      <c r="B154" t="inlineStr">
        <is>
          <t>Noodle</t>
        </is>
      </c>
      <c r="C154">
        <f>IFERROR(IF(MAXIFS('Cook log'!A2:A1000,'Cook log'!C2:C1000,A154)=0,"",MAXIFS('Cook log'!A2:A1000,'Cook log'!C2:C1000,A154)),"")</f>
        <v/>
      </c>
      <c r="D154">
        <f>IF(C154="","",TODAY()-C154)</f>
        <v/>
      </c>
      <c r="E154">
        <f>COUNTIF('Cook log'!C2:C1000,A154)</f>
        <v/>
      </c>
      <c r="F154" t="n">
        <v>21</v>
      </c>
      <c r="G154">
        <f>IF(C154="","Never cooked",IF(D154&lt;F154,"Cooldown","Due"))</f>
        <v/>
      </c>
    </row>
    <row r="155">
      <c r="A155" t="inlineStr">
        <is>
          <t>Yasai tempura</t>
        </is>
      </c>
      <c r="B155" t="inlineStr">
        <is>
          <t>Side</t>
        </is>
      </c>
      <c r="C155">
        <f>IFERROR(IF(MAXIFS('Cook log'!A2:A1000,'Cook log'!C2:C1000,A155)=0,"",MAXIFS('Cook log'!A2:A1000,'Cook log'!C2:C1000,A155)),"")</f>
        <v/>
      </c>
      <c r="D155">
        <f>IF(C155="","",TODAY()-C155)</f>
        <v/>
      </c>
      <c r="E155">
        <f>COUNTIF('Cook log'!C2:C1000,A155)</f>
        <v/>
      </c>
      <c r="F155" t="n">
        <v>21</v>
      </c>
      <c r="G155">
        <f>IF(C155="","Never cooked",IF(D155&lt;F155,"Cooldown","Due"))</f>
        <v/>
      </c>
    </row>
    <row r="156">
      <c r="A156" t="inlineStr">
        <is>
          <t>HK-style steamed chicken</t>
        </is>
      </c>
      <c r="B156" t="inlineStr">
        <is>
          <t>Chicken</t>
        </is>
      </c>
      <c r="C156">
        <f>IFERROR(IF(MAXIFS('Cook log'!A2:A1000,'Cook log'!C2:C1000,A156)=0,"",MAXIFS('Cook log'!A2:A1000,'Cook log'!C2:C1000,A156)),"")</f>
        <v/>
      </c>
      <c r="D156">
        <f>IF(C156="","",TODAY()-C156)</f>
        <v/>
      </c>
      <c r="E156">
        <f>COUNTIF('Cook log'!C2:C1000,A156)</f>
        <v/>
      </c>
      <c r="F156" t="n">
        <v>21</v>
      </c>
      <c r="G156">
        <f>IF(C156="","Never cooked",IF(D156&lt;F156,"Cooldown","Due"))</f>
        <v/>
      </c>
    </row>
    <row r="157">
      <c r="A157" t="inlineStr">
        <is>
          <t>Pork congee with dried scallop</t>
        </is>
      </c>
      <c r="B157" t="inlineStr">
        <is>
          <t>Rice</t>
        </is>
      </c>
      <c r="C157">
        <f>IFERROR(IF(MAXIFS('Cook log'!A2:A1000,'Cook log'!C2:C1000,A157)=0,"",MAXIFS('Cook log'!A2:A1000,'Cook log'!C2:C1000,A157)),"")</f>
        <v/>
      </c>
      <c r="D157">
        <f>IF(C157="","",TODAY()-C157)</f>
        <v/>
      </c>
      <c r="E157">
        <f>COUNTIF('Cook log'!C2:C1000,A157)</f>
        <v/>
      </c>
      <c r="F157" t="n">
        <v>21</v>
      </c>
      <c r="G157">
        <f>IF(C157="","Never cooked",IF(D157&lt;F157,"Cooldown","Due"))</f>
        <v/>
      </c>
    </row>
    <row r="158">
      <c r="A158" t="inlineStr">
        <is>
          <t>Youtiao</t>
        </is>
      </c>
      <c r="B158" t="inlineStr">
        <is>
          <t>Side</t>
        </is>
      </c>
      <c r="C158">
        <f>IFERROR(IF(MAXIFS('Cook log'!A2:A1000,'Cook log'!C2:C1000,A158)=0,"",MAXIFS('Cook log'!A2:A1000,'Cook log'!C2:C1000,A158)),"")</f>
        <v/>
      </c>
      <c r="D158">
        <f>IF(C158="","",TODAY()-C158)</f>
        <v/>
      </c>
      <c r="E158">
        <f>COUNTIF('Cook log'!C2:C1000,A158)</f>
        <v/>
      </c>
      <c r="F158" t="n">
        <v>14</v>
      </c>
      <c r="G158">
        <f>IF(C158="","Never cooked",IF(D158&lt;F158,"Cooldown","Due"))</f>
        <v/>
      </c>
    </row>
    <row r="159">
      <c r="A159" t="inlineStr">
        <is>
          <t>Kong bak pau (braised pork buns)</t>
        </is>
      </c>
      <c r="B159" t="inlineStr">
        <is>
          <t>Pork</t>
        </is>
      </c>
      <c r="C159">
        <f>IFERROR(IF(MAXIFS('Cook log'!A2:A1000,'Cook log'!C2:C1000,A159)=0,"",MAXIFS('Cook log'!A2:A1000,'Cook log'!C2:C1000,A159)),"")</f>
        <v/>
      </c>
      <c r="D159">
        <f>IF(C159="","",TODAY()-C159)</f>
        <v/>
      </c>
      <c r="E159">
        <f>COUNTIF('Cook log'!C2:C1000,A159)</f>
        <v/>
      </c>
      <c r="F159" t="n">
        <v>21</v>
      </c>
      <c r="G159">
        <f>IF(C159="","Never cooked",IF(D159&lt;F159,"Cooldown","Due"))</f>
        <v/>
      </c>
    </row>
    <row r="160">
      <c r="A160" t="inlineStr">
        <is>
          <t>Hot and sour soup</t>
        </is>
      </c>
      <c r="B160" t="inlineStr">
        <is>
          <t>Soup</t>
        </is>
      </c>
      <c r="C160">
        <f>IFERROR(IF(MAXIFS('Cook log'!A2:A1000,'Cook log'!C2:C1000,A160)=0,"",MAXIFS('Cook log'!A2:A1000,'Cook log'!C2:C1000,A160)),"")</f>
        <v/>
      </c>
      <c r="D160">
        <f>IF(C160="","",TODAY()-C160)</f>
        <v/>
      </c>
      <c r="E160">
        <f>COUNTIF('Cook log'!C2:C1000,A160)</f>
        <v/>
      </c>
      <c r="F160" t="n">
        <v>21</v>
      </c>
      <c r="G160">
        <f>IF(C160="","Never cooked",IF(D160&lt;F160,"Cooldown","Due"))</f>
        <v/>
      </c>
    </row>
    <row r="161">
      <c r="A161" t="inlineStr">
        <is>
          <t>Chicken tsukune</t>
        </is>
      </c>
      <c r="B161" t="inlineStr">
        <is>
          <t>Chicken</t>
        </is>
      </c>
      <c r="C161">
        <f>IFERROR(IF(MAXIFS('Cook log'!A2:A1000,'Cook log'!C2:C1000,A161)=0,"",MAXIFS('Cook log'!A2:A1000,'Cook log'!C2:C1000,A161)),"")</f>
        <v/>
      </c>
      <c r="D161">
        <f>IF(C161="","",TODAY()-C161)</f>
        <v/>
      </c>
      <c r="E161">
        <f>COUNTIF('Cook log'!C2:C1000,A161)</f>
        <v/>
      </c>
      <c r="F161" t="n">
        <v>21</v>
      </c>
      <c r="G161">
        <f>IF(C161="","Never cooked",IF(D161&lt;F161,"Cooldown","Due"))</f>
        <v/>
      </c>
    </row>
    <row r="162">
      <c r="A162" t="inlineStr">
        <is>
          <t>Sticky honey pork</t>
        </is>
      </c>
      <c r="B162" t="inlineStr">
        <is>
          <t>Pork</t>
        </is>
      </c>
      <c r="C162">
        <f>IFERROR(IF(MAXIFS('Cook log'!A2:A1000,'Cook log'!C2:C1000,A162)=0,"",MAXIFS('Cook log'!A2:A1000,'Cook log'!C2:C1000,A162)),"")</f>
        <v/>
      </c>
      <c r="D162">
        <f>IF(C162="","",TODAY()-C162)</f>
        <v/>
      </c>
      <c r="E162">
        <f>COUNTIF('Cook log'!C2:C1000,A162)</f>
        <v/>
      </c>
      <c r="F162" t="n">
        <v>21</v>
      </c>
      <c r="G162">
        <f>IF(C162="","Never cooked",IF(D162&lt;F162,"Cooldown","Due"))</f>
        <v/>
      </c>
    </row>
    <row r="163">
      <c r="A163" t="inlineStr">
        <is>
          <t>Chicken rendang</t>
        </is>
      </c>
      <c r="B163" t="inlineStr">
        <is>
          <t>Chicken</t>
        </is>
      </c>
      <c r="C163">
        <f>IFERROR(IF(MAXIFS('Cook log'!A2:A1000,'Cook log'!C2:C1000,A163)=0,"",MAXIFS('Cook log'!A2:A1000,'Cook log'!C2:C1000,A163)),"")</f>
        <v/>
      </c>
      <c r="D163">
        <f>IF(C163="","",TODAY()-C163)</f>
        <v/>
      </c>
      <c r="E163">
        <f>COUNTIF('Cook log'!C2:C1000,A163)</f>
        <v/>
      </c>
      <c r="F163" t="n">
        <v>28</v>
      </c>
      <c r="G163">
        <f>IF(C163="","Never cooked",IF(D163&lt;F163,"Cooldown","Due"))</f>
        <v/>
      </c>
    </row>
    <row r="164">
      <c r="A164" t="inlineStr">
        <is>
          <t>Steamed stuffed tofu puffs</t>
        </is>
      </c>
      <c r="B164" t="inlineStr">
        <is>
          <t>Pork</t>
        </is>
      </c>
      <c r="C164">
        <f>IFERROR(IF(MAXIFS('Cook log'!A2:A1000,'Cook log'!C2:C1000,A164)=0,"",MAXIFS('Cook log'!A2:A1000,'Cook log'!C2:C1000,A164)),"")</f>
        <v/>
      </c>
      <c r="D164">
        <f>IF(C164="","",TODAY()-C164)</f>
        <v/>
      </c>
      <c r="E164">
        <f>COUNTIF('Cook log'!C2:C1000,A164)</f>
        <v/>
      </c>
      <c r="F164" t="n">
        <v>21</v>
      </c>
      <c r="G164">
        <f>IF(C164="","Never cooked",IF(D164&lt;F164,"Cooldown","Due"))</f>
        <v/>
      </c>
    </row>
    <row r="165">
      <c r="A165" t="inlineStr">
        <is>
          <t>Lotus leaf rice</t>
        </is>
      </c>
      <c r="B165" t="inlineStr">
        <is>
          <t>Rice</t>
        </is>
      </c>
      <c r="C165">
        <f>IFERROR(IF(MAXIFS('Cook log'!A2:A1000,'Cook log'!C2:C1000,A165)=0,"",MAXIFS('Cook log'!A2:A1000,'Cook log'!C2:C1000,A165)),"")</f>
        <v/>
      </c>
      <c r="D165">
        <f>IF(C165="","",TODAY()-C165)</f>
        <v/>
      </c>
      <c r="E165">
        <f>COUNTIF('Cook log'!C2:C1000,A165)</f>
        <v/>
      </c>
      <c r="F165" t="n">
        <v>28</v>
      </c>
      <c r="G165">
        <f>IF(C165="","Never cooked",IF(D165&lt;F165,"Cooldown","Due"))</f>
        <v/>
      </c>
    </row>
    <row r="166">
      <c r="A166" t="inlineStr">
        <is>
          <t>Teochew braised duck</t>
        </is>
      </c>
      <c r="B166" t="inlineStr">
        <is>
          <t>Other</t>
        </is>
      </c>
      <c r="C166">
        <f>IFERROR(IF(MAXIFS('Cook log'!A2:A1000,'Cook log'!C2:C1000,A166)=0,"",MAXIFS('Cook log'!A2:A1000,'Cook log'!C2:C1000,A166)),"")</f>
        <v/>
      </c>
      <c r="D166">
        <f>IF(C166="","",TODAY()-C166)</f>
        <v/>
      </c>
      <c r="E166">
        <f>COUNTIF('Cook log'!C2:C1000,A166)</f>
        <v/>
      </c>
      <c r="F166" t="n">
        <v>35</v>
      </c>
      <c r="G166">
        <f>IF(C166="","Never cooked",IF(D166&lt;F166,"Cooldown","Due"))</f>
        <v/>
      </c>
      <c r="H166" t="inlineStr">
        <is>
          <t>Whole duck; elaborate braise</t>
        </is>
      </c>
    </row>
    <row r="167">
      <c r="A167" t="inlineStr">
        <is>
          <t>Mei cai kou rou (Cantonese style)</t>
        </is>
      </c>
      <c r="B167" t="inlineStr">
        <is>
          <t>Pork</t>
        </is>
      </c>
      <c r="C167">
        <f>IFERROR(IF(MAXIFS('Cook log'!A2:A1000,'Cook log'!C2:C1000,A167)=0,"",MAXIFS('Cook log'!A2:A1000,'Cook log'!C2:C1000,A167)),"")</f>
        <v/>
      </c>
      <c r="D167">
        <f>IF(C167="","",TODAY()-C167)</f>
        <v/>
      </c>
      <c r="E167">
        <f>COUNTIF('Cook log'!C2:C1000,A167)</f>
        <v/>
      </c>
      <c r="F167" t="n">
        <v>28</v>
      </c>
      <c r="G167">
        <f>IF(C167="","Never cooked",IF(D167&lt;F167,"Cooldown","Due"))</f>
        <v/>
      </c>
      <c r="H167" t="inlineStr">
        <is>
          <t>Steamed 1.5-2 hr; see also Hakka version</t>
        </is>
      </c>
    </row>
    <row r="168">
      <c r="A168" t="inlineStr">
        <is>
          <t>Hakka mei cai kou rou</t>
        </is>
      </c>
      <c r="B168" t="inlineStr">
        <is>
          <t>Pork</t>
        </is>
      </c>
      <c r="C168">
        <f>IFERROR(IF(MAXIFS('Cook log'!A2:A1000,'Cook log'!C2:C1000,A168)=0,"",MAXIFS('Cook log'!A2:A1000,'Cook log'!C2:C1000,A168)),"")</f>
        <v/>
      </c>
      <c r="D168">
        <f>IF(C168="","",TODAY()-C168)</f>
        <v/>
      </c>
      <c r="E168">
        <f>COUNTIF('Cook log'!C2:C1000,A168)</f>
        <v/>
      </c>
      <c r="F168" t="n">
        <v>28</v>
      </c>
      <c r="G168">
        <f>IF(C168="","Never cooked",IF(D168&lt;F168,"Cooldown","Due"))</f>
        <v/>
      </c>
      <c r="H168" t="inlineStr">
        <is>
          <t>Poach-poke-fry skin; near-duplicate of Mei cai kou rou (Cantonese) - do not schedule both in the same month</t>
        </is>
      </c>
    </row>
    <row r="169">
      <c r="A169" t="inlineStr">
        <is>
          <t>Winter melon bamboo shoot ham soup</t>
        </is>
      </c>
      <c r="B169" t="inlineStr">
        <is>
          <t>Soup</t>
        </is>
      </c>
      <c r="C169">
        <f>IFERROR(IF(MAXIFS('Cook log'!A2:A1000,'Cook log'!C2:C1000,A169)=0,"",MAXIFS('Cook log'!A2:A1000,'Cook log'!C2:C1000,A169)),"")</f>
        <v/>
      </c>
      <c r="D169">
        <f>IF(C169="","",TODAY()-C169)</f>
        <v/>
      </c>
      <c r="E169">
        <f>COUNTIF('Cook log'!C2:C1000,A169)</f>
        <v/>
      </c>
      <c r="F169" t="n">
        <v>21</v>
      </c>
      <c r="G169">
        <f>IF(C169="","Never cooked",IF(D169&lt;F169,"Cooldown","Due"))</f>
        <v/>
      </c>
      <c r="H169" t="inlineStr">
        <is>
          <t>Soak dried bamboo shoots overnight</t>
        </is>
      </c>
    </row>
    <row r="170">
      <c r="A170" t="inlineStr">
        <is>
          <t>Beef rendang</t>
        </is>
      </c>
      <c r="B170" t="inlineStr">
        <is>
          <t>Beef</t>
        </is>
      </c>
      <c r="C170">
        <f>IFERROR(IF(MAXIFS('Cook log'!A2:A1000,'Cook log'!C2:C1000,A170)=0,"",MAXIFS('Cook log'!A2:A1000,'Cook log'!C2:C1000,A170)),"")</f>
        <v/>
      </c>
      <c r="D170">
        <f>IF(C170="","",TODAY()-C170)</f>
        <v/>
      </c>
      <c r="E170">
        <f>COUNTIF('Cook log'!C2:C1000,A170)</f>
        <v/>
      </c>
      <c r="F170" t="n">
        <v>28</v>
      </c>
      <c r="G170">
        <f>IF(C170="","Never cooked",IF(D170&lt;F170,"Cooldown","Due"))</f>
        <v/>
      </c>
      <c r="H170" t="inlineStr">
        <is>
          <t>Madam Kwan's paste version; 50 min simmer. Scratch rempah version = Chicken rendang recipe</t>
        </is>
      </c>
    </row>
    <row r="171">
      <c r="A171" t="inlineStr">
        <is>
          <t>Cereal pork chop</t>
        </is>
      </c>
      <c r="B171" t="inlineStr">
        <is>
          <t>Pork</t>
        </is>
      </c>
      <c r="C171">
        <f>IFERROR(IF(MAXIFS('Cook log'!A2:A1000,'Cook log'!C2:C1000,A171)=0,"",MAXIFS('Cook log'!A2:A1000,'Cook log'!C2:C1000,A171)),"")</f>
        <v/>
      </c>
      <c r="D171">
        <f>IF(C171="","",TODAY()-C171)</f>
        <v/>
      </c>
      <c r="E171">
        <f>COUNTIF('Cook log'!C2:C1000,A171)</f>
        <v/>
      </c>
      <c r="F171" t="n">
        <v>21</v>
      </c>
      <c r="G171">
        <f>IF(C171="","Never cooked",IF(D171&lt;F171,"Cooldown","Due"))</f>
        <v/>
      </c>
      <c r="H171" t="inlineStr">
        <is>
          <t>Deep-fried; toss in buttery cereal</t>
        </is>
      </c>
    </row>
    <row r="172">
      <c r="A172" t="inlineStr">
        <is>
          <t>Braised pork ribs</t>
        </is>
      </c>
      <c r="B172" t="inlineStr">
        <is>
          <t>Pork</t>
        </is>
      </c>
      <c r="C172">
        <f>IFERROR(IF(MAXIFS('Cook log'!A2:A1000,'Cook log'!C2:C1000,A172)=0,"",MAXIFS('Cook log'!A2:A1000,'Cook log'!C2:C1000,A172)),"")</f>
        <v/>
      </c>
      <c r="D172">
        <f>IF(C172="","",TODAY()-C172)</f>
        <v/>
      </c>
      <c r="E172">
        <f>COUNTIF('Cook log'!C2:C1000,A172)</f>
        <v/>
      </c>
      <c r="F172" t="n">
        <v>21</v>
      </c>
      <c r="G172">
        <f>IF(C172="","Never cooked",IF(D172&lt;F172,"Cooldown","Due"))</f>
        <v/>
      </c>
      <c r="H172" t="inlineStr">
        <is>
          <t>1 cup rice wine - long braise</t>
        </is>
      </c>
    </row>
    <row r="173">
      <c r="A173" t="inlineStr">
        <is>
          <t>Pork krapow (Pad Kra Pao)</t>
        </is>
      </c>
      <c r="B173" t="inlineStr">
        <is>
          <t>Pork</t>
        </is>
      </c>
      <c r="C173">
        <f>IFERROR(IF(MAXIFS('Cook log'!A2:A1000,'Cook log'!C2:C1000,A173)=0,"",MAXIFS('Cook log'!A2:A1000,'Cook log'!C2:C1000,A173)),"")</f>
        <v/>
      </c>
      <c r="D173">
        <f>IF(C173="","",TODAY()-C173)</f>
        <v/>
      </c>
      <c r="E173">
        <f>COUNTIF('Cook log'!C2:C1000,A173)</f>
        <v/>
      </c>
      <c r="F173" t="n">
        <v>21</v>
      </c>
      <c r="G173">
        <f>IF(C173="","Never cooked",IF(D173&lt;F173,"Cooldown","Due"))</f>
        <v/>
      </c>
      <c r="H173" t="inlineStr">
        <is>
          <t>Thai holy basil stir-fry; recipe written for chicken, pork works</t>
        </is>
      </c>
    </row>
    <row r="174">
      <c r="A174" t="inlineStr">
        <is>
          <t>Braised mushrooms with spinach</t>
        </is>
      </c>
      <c r="B174" t="inlineStr">
        <is>
          <t>Vegetable</t>
        </is>
      </c>
      <c r="C174">
        <f>IFERROR(IF(MAXIFS('Cook log'!A2:A1000,'Cook log'!C2:C1000,A174)=0,"",MAXIFS('Cook log'!A2:A1000,'Cook log'!C2:C1000,A174)),"")</f>
        <v/>
      </c>
      <c r="D174">
        <f>IF(C174="","",TODAY()-C174)</f>
        <v/>
      </c>
      <c r="E174">
        <f>COUNTIF('Cook log'!C2:C1000,A174)</f>
        <v/>
      </c>
      <c r="F174" t="n">
        <v>21</v>
      </c>
      <c r="G174">
        <f>IF(C174="","Never cooked",IF(D174&lt;F174,"Cooldown","Due"))</f>
        <v/>
      </c>
      <c r="H174" t="inlineStr">
        <is>
          <t>recipes/braised-mushrooms-spinach.md - recipe existed with no rotation row</t>
        </is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2026-08-07T17:19:54Z</dcterms:modified>
</cp:coreProperties>
</file>