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ok log" sheetId="1" state="visible" r:id="rId1"/>
    <sheet name="Dish rotation" sheetId="2" state="visible" r:id="rId2"/>
    <sheet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>
        <v>46245</v>
      </c>
      <c r="B161" s="3">
        <f>IF(A161="","",TEXT(A161,"ddd"))</f>
        <v/>
      </c>
      <c r="C161" t="inlineStr">
        <is>
          <t>HK-style steamed chicken</t>
        </is>
      </c>
      <c r="D161" t="inlineStr">
        <is>
          <t>planned (week of 10 Aug 2026)</t>
        </is>
      </c>
    </row>
    <row r="162">
      <c r="A162" s="2" t="n">
        <v>46245</v>
      </c>
      <c r="B162" s="3">
        <f>IF(A162="","",TEXT(A162,"ddd"))</f>
        <v/>
      </c>
      <c r="C162" t="inlineStr">
        <is>
          <t>Braised mushrooms with spinach</t>
        </is>
      </c>
      <c r="D162" t="inlineStr">
        <is>
          <t>planned (week of 10 Aug 2026)</t>
        </is>
      </c>
    </row>
    <row r="163">
      <c r="A163" s="2" t="n">
        <v>46245</v>
      </c>
      <c r="B163" s="3">
        <f>IF(A163="","",TEXT(A163,"ddd"))</f>
        <v/>
      </c>
      <c r="C163" t="inlineStr">
        <is>
          <t>Radish pork rib soup with dates</t>
        </is>
      </c>
      <c r="D163" t="inlineStr">
        <is>
          <t>planned (week of 10 Aug 2026)</t>
        </is>
      </c>
    </row>
    <row r="164">
      <c r="A164" s="2" t="n">
        <v>46245</v>
      </c>
      <c r="B164" s="3">
        <f>IF(A164="","",TEXT(A164,"ddd"))</f>
        <v/>
      </c>
      <c r="C164" t="inlineStr">
        <is>
          <t>Steamed rice</t>
        </is>
      </c>
      <c r="D164" t="inlineStr">
        <is>
          <t>planned (week of 10 Aug 2026)</t>
        </is>
      </c>
    </row>
    <row r="165">
      <c r="A165" s="2" t="n">
        <v>46246</v>
      </c>
      <c r="B165" s="3">
        <f>IF(A165="","",TEXT(A165,"ddd"))</f>
        <v/>
      </c>
      <c r="C165" t="inlineStr">
        <is>
          <t>Yang Zhou fried rice</t>
        </is>
      </c>
      <c r="D165" t="inlineStr">
        <is>
          <t>planned (week of 10 Aug 2026) - EARLY - 12d after 31 Jul, cd 28; user approved</t>
        </is>
      </c>
    </row>
    <row r="166">
      <c r="A166" s="2" t="n">
        <v>46246</v>
      </c>
      <c r="B166" s="3">
        <f>IF(A166="","",TEXT(A166,"ddd"))</f>
        <v/>
      </c>
      <c r="C166" t="inlineStr">
        <is>
          <t>Cereal pork chop</t>
        </is>
      </c>
      <c r="D166" t="inlineStr">
        <is>
          <t>planned (week of 10 Aug 2026)</t>
        </is>
      </c>
    </row>
    <row r="167">
      <c r="A167" s="2" t="n">
        <v>46246</v>
      </c>
      <c r="B167" s="3">
        <f>IF(A167="","",TEXT(A167,"ddd"))</f>
        <v/>
      </c>
      <c r="C167" t="inlineStr">
        <is>
          <t>Stir fried vegetable</t>
        </is>
      </c>
      <c r="D167" t="inlineStr">
        <is>
          <t>planned (week of 10 Aug 2026)</t>
        </is>
      </c>
    </row>
    <row r="168">
      <c r="A168" s="2" t="n">
        <v>46247</v>
      </c>
      <c r="B168" s="3">
        <f>IF(A168="","",TEXT(A168,"ddd"))</f>
        <v/>
      </c>
      <c r="C168" t="inlineStr">
        <is>
          <t>Steamed baby threadfin</t>
        </is>
      </c>
      <c r="D168" t="inlineStr">
        <is>
          <t>planned (week of 10 Aug 2026)</t>
        </is>
      </c>
    </row>
    <row r="169">
      <c r="A169" s="2" t="n">
        <v>46247</v>
      </c>
      <c r="B169" s="3">
        <f>IF(A169="","",TEXT(A169,"ddd"))</f>
        <v/>
      </c>
      <c r="C169" t="inlineStr">
        <is>
          <t>Stir fried vegetable</t>
        </is>
      </c>
      <c r="D169" t="inlineStr">
        <is>
          <t>planned (week of 10 Aug 2026)</t>
        </is>
      </c>
    </row>
    <row r="170">
      <c r="A170" s="2" t="n">
        <v>46247</v>
      </c>
      <c r="B170" s="3">
        <f>IF(A170="","",TEXT(A170,"ddd"))</f>
        <v/>
      </c>
      <c r="C170" t="inlineStr">
        <is>
          <t>Braised pork ribs</t>
        </is>
      </c>
      <c r="D170" t="inlineStr">
        <is>
          <t>planned (week of 10 Aug 2026) - cut the 1 cup rice wine</t>
        </is>
      </c>
    </row>
    <row r="171">
      <c r="A171" s="2" t="n">
        <v>46248</v>
      </c>
      <c r="B171" s="3">
        <f>IF(A171="","",TEXT(A171,"ddd"))</f>
        <v/>
      </c>
      <c r="C171" t="inlineStr">
        <is>
          <t>Sticky honey pork</t>
        </is>
      </c>
      <c r="D171" t="inlineStr">
        <is>
          <t>planned (week of 10 Aug 2026)</t>
        </is>
      </c>
    </row>
    <row r="172">
      <c r="A172" s="2" t="n">
        <v>46248</v>
      </c>
      <c r="B172" s="3">
        <f>IF(A172="","",TEXT(A172,"ddd"))</f>
        <v/>
      </c>
      <c r="C172" t="inlineStr">
        <is>
          <t>Hainanese chap chye</t>
        </is>
      </c>
      <c r="D172" t="inlineStr">
        <is>
          <t>planned (week of 10 Aug 2026)</t>
        </is>
      </c>
    </row>
    <row r="173">
      <c r="A173" s="2" t="n">
        <v>46248</v>
      </c>
      <c r="B173" s="3">
        <f>IF(A173="","",TEXT(A173,"ddd"))</f>
        <v/>
      </c>
      <c r="C173" t="inlineStr">
        <is>
          <t>Tonjiru</t>
        </is>
      </c>
      <c r="D173" t="inlineStr">
        <is>
          <t>planned (week of 10 Aug 2026)</t>
        </is>
      </c>
    </row>
    <row r="174">
      <c r="A174" s="2" t="n">
        <v>46248</v>
      </c>
      <c r="B174" s="3">
        <f>IF(A174="","",TEXT(A174,"ddd"))</f>
        <v/>
      </c>
      <c r="C174" t="inlineStr">
        <is>
          <t>Steamed rice</t>
        </is>
      </c>
      <c r="D174" t="inlineStr">
        <is>
          <t>planned (week of 10 Aug 2026)</t>
        </is>
      </c>
    </row>
    <row r="175">
      <c r="A175" s="2" t="n">
        <v>46251</v>
      </c>
      <c r="B175" s="3">
        <f>IF(A175="","",TEXT(A175,"ddd"))</f>
        <v/>
      </c>
      <c r="C175" t="inlineStr">
        <is>
          <t>Pork krapow (Pad Kra Pao)</t>
        </is>
      </c>
      <c r="D175" t="inlineStr">
        <is>
          <t>planned (week of 17 Aug 2026) - no chilli in a split-off portion for the kid</t>
        </is>
      </c>
    </row>
    <row r="176">
      <c r="A176" s="2" t="n">
        <v>46251</v>
      </c>
      <c r="B176" s="3">
        <f>IF(A176="","",TEXT(A176,"ddd"))</f>
        <v/>
      </c>
      <c r="C176" t="inlineStr">
        <is>
          <t>Crispy fried tofu with meat floss</t>
        </is>
      </c>
      <c r="D176" t="inlineStr">
        <is>
          <t>planned (week of 17 Aug 2026) - omit sesame oil; chicken stock powder for mushroom granules</t>
        </is>
      </c>
    </row>
    <row r="177">
      <c r="A177" s="2" t="n">
        <v>46251</v>
      </c>
      <c r="B177" s="3">
        <f>IF(A177="","",TEXT(A177,"ddd"))</f>
        <v/>
      </c>
      <c r="C177" t="inlineStr">
        <is>
          <t>Stir fried vegetable</t>
        </is>
      </c>
      <c r="D177" t="inlineStr">
        <is>
          <t>planned (week of 17 Aug 2026)</t>
        </is>
      </c>
    </row>
    <row r="178">
      <c r="A178" s="2" t="n">
        <v>46251</v>
      </c>
      <c r="B178" s="3">
        <f>IF(A178="","",TEXT(A178,"ddd"))</f>
        <v/>
      </c>
      <c r="C178" t="inlineStr">
        <is>
          <t>Steamed rice</t>
        </is>
      </c>
      <c r="D178" t="inlineStr">
        <is>
          <t>planned (week of 17 Aug 2026)</t>
        </is>
      </c>
    </row>
    <row r="179">
      <c r="A179" s="2" t="n">
        <v>46252</v>
      </c>
      <c r="B179" s="3">
        <f>IF(A179="","",TEXT(A179,"ddd"))</f>
        <v/>
      </c>
      <c r="C179" t="inlineStr">
        <is>
          <t>Pan-fried threadfin with leek</t>
        </is>
      </c>
      <c r="D179" t="inlineStr">
        <is>
          <t>planned (week of 17 Aug 2026)</t>
        </is>
      </c>
    </row>
    <row r="180">
      <c r="A180" s="2" t="n">
        <v>46252</v>
      </c>
      <c r="B180" s="3">
        <f>IF(A180="","",TEXT(A180,"ddd"))</f>
        <v/>
      </c>
      <c r="C180" t="inlineStr">
        <is>
          <t>Tofu with preserved vegetable</t>
        </is>
      </c>
      <c r="D180" t="inlineStr">
        <is>
          <t>planned (week of 17 Aug 2026)</t>
        </is>
      </c>
    </row>
    <row r="181">
      <c r="A181" s="2" t="n">
        <v>46252</v>
      </c>
      <c r="B181" s="3">
        <f>IF(A181="","",TEXT(A181,"ddd"))</f>
        <v/>
      </c>
      <c r="C181" t="inlineStr">
        <is>
          <t>Lotus root pork rib soup</t>
        </is>
      </c>
      <c r="D181" t="inlineStr">
        <is>
          <t>planned (week of 17 Aug 2026) - EARLY - 14d after 4 Aug, cd 21; user approved</t>
        </is>
      </c>
    </row>
    <row r="182">
      <c r="A182" s="2" t="n">
        <v>46252</v>
      </c>
      <c r="B182" s="3">
        <f>IF(A182="","",TEXT(A182,"ddd"))</f>
        <v/>
      </c>
      <c r="C182" t="inlineStr">
        <is>
          <t>Steamed rice</t>
        </is>
      </c>
      <c r="D182" t="inlineStr">
        <is>
          <t>planned (week of 17 Aug 2026)</t>
        </is>
      </c>
    </row>
    <row r="183">
      <c r="A183" s="2" t="n">
        <v>46253</v>
      </c>
      <c r="B183" s="3">
        <f>IF(A183="","",TEXT(A183,"ddd"))</f>
        <v/>
      </c>
      <c r="C183" t="inlineStr">
        <is>
          <t>Braised pork with tofu and egg (Tau Yu Bak)</t>
        </is>
      </c>
      <c r="D183" t="inlineStr">
        <is>
          <t>planned (week of 17 Aug 2026) - eggs kept</t>
        </is>
      </c>
    </row>
    <row r="184">
      <c r="A184" s="2" t="n">
        <v>46253</v>
      </c>
      <c r="B184" s="3">
        <f>IF(A184="","",TEXT(A184,"ddd"))</f>
        <v/>
      </c>
      <c r="C184" t="inlineStr">
        <is>
          <t>Stir fried vegetable</t>
        </is>
      </c>
      <c r="D184" t="inlineStr">
        <is>
          <t>planned (week of 17 Aug 2026) - hardy green</t>
        </is>
      </c>
    </row>
    <row r="185">
      <c r="A185" s="2" t="n">
        <v>46253</v>
      </c>
      <c r="B185" s="3">
        <f>IF(A185="","",TEXT(A185,"ddd"))</f>
        <v/>
      </c>
      <c r="C185" t="inlineStr">
        <is>
          <t>Chinese yam and chicken soup</t>
        </is>
      </c>
      <c r="D185" t="inlineStr">
        <is>
          <t>planned (week of 17 Aug 2026) - PORK RIB version; EARLY - 14d after 5 Aug, cd 21; user approved</t>
        </is>
      </c>
    </row>
    <row r="186">
      <c r="A186" s="2" t="n">
        <v>46253</v>
      </c>
      <c r="B186" s="3">
        <f>IF(A186="","",TEXT(A186,"ddd"))</f>
        <v/>
      </c>
      <c r="C186" t="inlineStr">
        <is>
          <t>Steamed rice</t>
        </is>
      </c>
      <c r="D186" t="inlineStr">
        <is>
          <t>planned (week of 17 Aug 2026)</t>
        </is>
      </c>
    </row>
    <row r="187">
      <c r="A187" s="2" t="n">
        <v>46254</v>
      </c>
      <c r="B187" s="3">
        <f>IF(A187="","",TEXT(A187,"ddd"))</f>
        <v/>
      </c>
      <c r="C187" t="inlineStr">
        <is>
          <t>Fried chicken wings</t>
        </is>
      </c>
      <c r="D187" t="inlineStr">
        <is>
          <t>planned (week of 17 Aug 2026)</t>
        </is>
      </c>
    </row>
    <row r="188">
      <c r="A188" s="2" t="n">
        <v>46254</v>
      </c>
      <c r="B188" s="3">
        <f>IF(A188="","",TEXT(A188,"ddd"))</f>
        <v/>
      </c>
      <c r="C188" t="inlineStr">
        <is>
          <t>Hokkien gai fan</t>
        </is>
      </c>
      <c r="D188" t="inlineStr">
        <is>
          <t>planned (week of 17 Aug 2026)</t>
        </is>
      </c>
    </row>
    <row r="189">
      <c r="A189" s="2" t="n">
        <v>46255</v>
      </c>
      <c r="B189" s="3">
        <f>IF(A189="","",TEXT(A189,"ddd"))</f>
        <v/>
      </c>
      <c r="C189" t="inlineStr">
        <is>
          <t>Yang Zhou fried rice</t>
        </is>
      </c>
      <c r="D189" t="inlineStr">
        <is>
          <t>planned (week of 17 Aug 2026) - EARLY - 9d after 12 Aug, cd 28; 3rd time in 3 weeks; user approved</t>
        </is>
      </c>
    </row>
    <row r="190">
      <c r="A190" s="2" t="n">
        <v>46255</v>
      </c>
      <c r="B190" s="3">
        <f>IF(A190="","",TEXT(A190,"ddd"))</f>
        <v/>
      </c>
      <c r="C190" t="inlineStr">
        <is>
          <t>Satay</t>
        </is>
      </c>
      <c r="D190" t="inlineStr">
        <is>
          <t>planned (week of 17 Aug 2026) - frozen, using up</t>
        </is>
      </c>
    </row>
    <row r="191">
      <c r="A191" s="8" t="n">
        <v>46272</v>
      </c>
      <c r="B191" s="3">
        <f>IF(A191="","",TEXT(A191,"ddd"))</f>
        <v/>
      </c>
      <c r="C191" s="3" t="inlineStr">
        <is>
          <t>Stir fried bee hoon</t>
        </is>
      </c>
      <c r="D191" s="3" t="inlineStr">
        <is>
          <t>planned (week of 7 Sep 2026)</t>
        </is>
      </c>
    </row>
    <row r="192">
      <c r="A192" s="8" t="n">
        <v>46272</v>
      </c>
      <c r="B192" s="3">
        <f>IF(A192="","",TEXT(A192,"ddd"))</f>
        <v/>
      </c>
      <c r="C192" s="3" t="inlineStr">
        <is>
          <t>Watercress pork rib soup</t>
        </is>
      </c>
      <c r="D192" s="3" t="inlineStr">
        <is>
          <t>planned (week of 7 Sep 2026) - 1kg ribs across 4 soups this week, reduced by user</t>
        </is>
      </c>
    </row>
    <row r="193">
      <c r="A193" s="8" t="n">
        <v>46273</v>
      </c>
      <c r="B193" s="3">
        <f>IF(A193="","",TEXT(A193,"ddd"))</f>
        <v/>
      </c>
      <c r="C193" s="3" t="inlineStr">
        <is>
          <t>Steamed baby threadfin</t>
        </is>
      </c>
      <c r="D193" s="3" t="inlineStr">
        <is>
          <t>planned (week of 7 Sep 2026) - no recipe file; quantities invented</t>
        </is>
      </c>
    </row>
    <row r="194">
      <c r="A194" s="8" t="n">
        <v>46273</v>
      </c>
      <c r="B194" s="3">
        <f>IF(A194="","",TEXT(A194,"ddd"))</f>
        <v/>
      </c>
      <c r="C194" s="3" t="inlineStr">
        <is>
          <t>Stir fried dou miao</t>
        </is>
      </c>
      <c r="D194" s="3" t="inlineStr">
        <is>
          <t>planned (week of 7 Sep 2026)</t>
        </is>
      </c>
    </row>
    <row r="195">
      <c r="A195" s="8" t="n">
        <v>46273</v>
      </c>
      <c r="B195" s="3">
        <f>IF(A195="","",TEXT(A195,"ddd"))</f>
        <v/>
      </c>
      <c r="C195" s="3" t="inlineStr">
        <is>
          <t>Chinese yam and chicken soup</t>
        </is>
      </c>
      <c r="D195" s="3" t="inlineStr">
        <is>
          <t>planned (week of 7 Sep 2026) - PORK RIB version; EARLY - 20d after 19 Aug, cd 21; user approved</t>
        </is>
      </c>
    </row>
    <row r="196">
      <c r="A196" s="8" t="n">
        <v>46273</v>
      </c>
      <c r="B196" s="3">
        <f>IF(A196="","",TEXT(A196,"ddd"))</f>
        <v/>
      </c>
      <c r="C196" s="3" t="inlineStr">
        <is>
          <t>Steamed rice</t>
        </is>
      </c>
      <c r="D196" s="3" t="inlineStr">
        <is>
          <t>planned (week of 7 Sep 2026)</t>
        </is>
      </c>
    </row>
    <row r="197">
      <c r="A197" s="8" t="n">
        <v>46274</v>
      </c>
      <c r="B197" s="3">
        <f>IF(A197="","",TEXT(A197,"ddd"))</f>
        <v/>
      </c>
      <c r="C197" s="3" t="inlineStr">
        <is>
          <t>Yang Zhou fried rice</t>
        </is>
      </c>
      <c r="D197" s="3" t="inlineStr">
        <is>
          <t>planned (week of 7 Sep 2026) - EARLY - 19d after 21 Aug, cd 28; user approved; sesame oil -&gt; neutral</t>
        </is>
      </c>
    </row>
    <row r="198">
      <c r="A198" s="8" t="n">
        <v>46274</v>
      </c>
      <c r="B198" s="3">
        <f>IF(A198="","",TEXT(A198,"ddd"))</f>
        <v/>
      </c>
      <c r="C198" s="3" t="inlineStr">
        <is>
          <t>Fishball minced pork soup</t>
        </is>
      </c>
      <c r="D198" s="3" t="inlineStr">
        <is>
          <t>planned (week of 7 Sep 2026) - recipe has no quantities; invented</t>
        </is>
      </c>
    </row>
    <row r="199">
      <c r="A199" s="8" t="n">
        <v>46275</v>
      </c>
      <c r="B199" s="3">
        <f>IF(A199="","",TEXT(A199,"ddd"))</f>
        <v/>
      </c>
      <c r="C199" s="3" t="inlineStr">
        <is>
          <t>Baked salmon with herbs</t>
        </is>
      </c>
      <c r="D199" s="3" t="inlineStr">
        <is>
          <t>planned (week of 7 Sep 2026)</t>
        </is>
      </c>
    </row>
    <row r="200">
      <c r="A200" s="8" t="n">
        <v>46275</v>
      </c>
      <c r="B200" s="3">
        <f>IF(A200="","",TEXT(A200,"ddd"))</f>
        <v/>
      </c>
      <c r="C200" s="3" t="inlineStr">
        <is>
          <t>Stir fried vegetable</t>
        </is>
      </c>
      <c r="D200" s="3" t="inlineStr">
        <is>
          <t>planned (week of 7 Sep 2026) - soft green, day 4</t>
        </is>
      </c>
    </row>
    <row r="201">
      <c r="A201" s="8" t="n">
        <v>46275</v>
      </c>
      <c r="B201" s="3">
        <f>IF(A201="","",TEXT(A201,"ddd"))</f>
        <v/>
      </c>
      <c r="C201" s="3" t="inlineStr">
        <is>
          <t>Lotus root pork rib soup</t>
        </is>
      </c>
      <c r="D201" s="3" t="inlineStr">
        <is>
          <t>planned (week of 7 Sep 2026) - recipe serves 12; HALF batch</t>
        </is>
      </c>
    </row>
    <row r="202">
      <c r="A202" s="8" t="n">
        <v>46275</v>
      </c>
      <c r="B202" s="3">
        <f>IF(A202="","",TEXT(A202,"ddd"))</f>
        <v/>
      </c>
      <c r="C202" s="3" t="inlineStr">
        <is>
          <t>Steamed rice</t>
        </is>
      </c>
      <c r="D202" s="3" t="inlineStr">
        <is>
          <t>planned (week of 7 Sep 2026)</t>
        </is>
      </c>
    </row>
    <row r="203">
      <c r="A203" s="8" t="n">
        <v>46276</v>
      </c>
      <c r="B203" s="3">
        <f>IF(A203="","",TEXT(A203,"ddd"))</f>
        <v/>
      </c>
      <c r="C203" s="3" t="inlineStr">
        <is>
          <t>Ee-fu mee</t>
        </is>
      </c>
      <c r="D203" s="3" t="inlineStr">
        <is>
          <t>planned (week of 7 Sep 2026) - mushrooms KEPT by user override; SLICED PORK 400g not chicken thigh</t>
        </is>
      </c>
    </row>
    <row r="204">
      <c r="A204" s="8" t="n">
        <v>46276</v>
      </c>
      <c r="B204" s="3">
        <f>IF(A204="","",TEXT(A204,"ddd"))</f>
        <v/>
      </c>
      <c r="C204" s="3" t="inlineStr">
        <is>
          <t>Radish pork rib soup with dates</t>
        </is>
      </c>
      <c r="D204" s="3" t="inlineStr">
        <is>
          <t>planned (week of 7 Sep 2026)</t>
        </is>
      </c>
    </row>
    <row r="205">
      <c r="A205" s="8" t="n">
        <v>46276</v>
      </c>
      <c r="B205" s="3">
        <f>IF(A205="","",TEXT(A205,"ddd"))</f>
        <v/>
      </c>
      <c r="C205" s="3" t="inlineStr">
        <is>
          <t>Stir fried vegetable</t>
        </is>
      </c>
      <c r="D205" s="3" t="inlineStr">
        <is>
          <t>planned (week of 7 Sep 2026) - hardy green (kai lan), day 5</t>
        </is>
      </c>
    </row>
    <row r="206">
      <c r="A206" s="8" t="n">
        <v>46279</v>
      </c>
      <c r="B206" s="3">
        <f>IF(A206="","",TEXT(A206,"ddd"))</f>
        <v/>
      </c>
      <c r="C206" s="3" t="inlineStr">
        <is>
          <t>Buta don 豚丼</t>
        </is>
      </c>
      <c r="D206" s="3" t="inlineStr">
        <is>
          <t>planned (week of 14 Sep 2026) - raw egg yolk topping OMITTED; alcohol override</t>
        </is>
      </c>
    </row>
    <row r="207">
      <c r="A207" s="8" t="n">
        <v>46279</v>
      </c>
      <c r="B207" s="3">
        <f>IF(A207="","",TEXT(A207,"ddd"))</f>
        <v/>
      </c>
      <c r="C207" s="3" t="inlineStr">
        <is>
          <t>Watercress pork rib soup</t>
        </is>
      </c>
      <c r="D207" s="3" t="inlineStr">
        <is>
          <t>planned (week of 14 Sep 2026) - EARLY: 7d after 7 Sep, cd 21; user chose 12 Sep</t>
        </is>
      </c>
    </row>
    <row r="208">
      <c r="A208" s="8" t="n">
        <v>46280</v>
      </c>
      <c r="B208" s="3">
        <f>IF(A208="","",TEXT(A208,"ddd"))</f>
        <v/>
      </c>
      <c r="C208" s="3" t="inlineStr">
        <is>
          <t>Taiwanese beef noodle soup 红烧牛肉面</t>
        </is>
      </c>
      <c r="D208" s="3" t="inlineStr">
        <is>
          <t>planned (week of 14 Sep 2026) - tomato + alcohol override; CHILD: ladle before the chilli</t>
        </is>
      </c>
    </row>
    <row r="209">
      <c r="A209" s="8" t="n">
        <v>46281</v>
      </c>
      <c r="B209" s="3">
        <f>IF(A209="","",TEXT(A209,"ddd"))</f>
        <v/>
      </c>
      <c r="C209" s="3" t="inlineStr">
        <is>
          <t>Padang chicken curry</t>
        </is>
      </c>
      <c r="D209" s="3" t="inlineStr">
        <is>
          <t>planned (week of 14 Sep 2026) - 2 packets Dancing Chef paste</t>
        </is>
      </c>
    </row>
    <row r="210">
      <c r="A210" s="8" t="n">
        <v>46281</v>
      </c>
      <c r="B210" s="3">
        <f>IF(A210="","",TEXT(A210,"ddd"))</f>
        <v/>
      </c>
      <c r="C210" s="3" t="inlineStr">
        <is>
          <t>Fishball and baby spinach soup</t>
        </is>
      </c>
      <c r="D210" s="3" t="inlineStr">
        <is>
          <t>planned (week of 14 Sep 2026) - no recipe; quantities invented</t>
        </is>
      </c>
    </row>
    <row r="211">
      <c r="A211" s="8" t="n">
        <v>46282</v>
      </c>
      <c r="B211" s="3">
        <f>IF(A211="","",TEXT(A211,"ddd"))</f>
        <v/>
      </c>
      <c r="C211" s="3" t="inlineStr">
        <is>
          <t>Steamed pomfret</t>
        </is>
      </c>
      <c r="D211" s="3" t="inlineStr">
        <is>
          <t>planned (week of 14 Sep 2026) - no recipe; quantities invented</t>
        </is>
      </c>
    </row>
    <row r="212">
      <c r="A212" s="8" t="n">
        <v>46282</v>
      </c>
      <c r="B212" s="3">
        <f>IF(A212="","",TEXT(A212,"ddd"))</f>
        <v/>
      </c>
      <c r="C212" s="3" t="inlineStr">
        <is>
          <t>Braised meatballs in oyster sauce 蚝油焖肉丸</t>
        </is>
      </c>
      <c r="D212" s="3" t="inlineStr">
        <is>
          <t>planned (week of 14 Sep 2026) - FIRST COOK; minced PORK (recipe default)</t>
        </is>
      </c>
    </row>
    <row r="213">
      <c r="A213" s="8" t="n">
        <v>46282</v>
      </c>
      <c r="B213" s="3">
        <f>IF(A213="","",TEXT(A213,"ddd"))</f>
        <v/>
      </c>
      <c r="C213" s="3" t="inlineStr">
        <is>
          <t>Stir fried vegetable</t>
        </is>
      </c>
      <c r="D213" s="3" t="inlineStr">
        <is>
          <t>planned (week of 14 Sep 2026) - soft green, day 4</t>
        </is>
      </c>
    </row>
    <row r="214">
      <c r="A214" s="8" t="n">
        <v>46282</v>
      </c>
      <c r="B214" s="3">
        <f>IF(A214="","",TEXT(A214,"ddd"))</f>
        <v/>
      </c>
      <c r="C214" s="3" t="inlineStr">
        <is>
          <t>Tonjiru</t>
        </is>
      </c>
      <c r="D214" s="3" t="inlineStr">
        <is>
          <t>planned (week of 14 Sep 2026)</t>
        </is>
      </c>
    </row>
    <row r="215">
      <c r="A215" s="8" t="n">
        <v>46282</v>
      </c>
      <c r="B215" s="3">
        <f>IF(A215="","",TEXT(A215,"ddd"))</f>
        <v/>
      </c>
      <c r="C215" s="3" t="inlineStr">
        <is>
          <t>Steamed rice</t>
        </is>
      </c>
      <c r="D215" s="3" t="inlineStr">
        <is>
          <t>planned (week of 14 Sep 2026)</t>
        </is>
      </c>
    </row>
    <row r="216">
      <c r="A216" s="8" t="n">
        <v>46283</v>
      </c>
      <c r="B216" s="3">
        <f>IF(A216="","",TEXT(A216,"ddd"))</f>
        <v/>
      </c>
      <c r="C216" s="3" t="inlineStr">
        <is>
          <t>Pan-fried threadfin with leek</t>
        </is>
      </c>
      <c r="D216" s="3" t="inlineStr">
        <is>
          <t>planned (week of 14 Sep 2026) - no recipe; freeze Sun, thaw Thu night</t>
        </is>
      </c>
    </row>
    <row r="217">
      <c r="A217" s="8" t="n">
        <v>46283</v>
      </c>
      <c r="B217" s="3">
        <f>IF(A217="","",TEXT(A217,"ddd"))</f>
        <v/>
      </c>
      <c r="C217" s="3" t="inlineStr">
        <is>
          <t>Sweet and sour pork</t>
        </is>
      </c>
      <c r="D217" s="3" t="inlineStr">
        <is>
          <t>planned (week of 14 Sep 2026) - tomato override; sesame oil DELETED; pork raised to 600g</t>
        </is>
      </c>
    </row>
    <row r="218">
      <c r="A218" s="8" t="n">
        <v>46283</v>
      </c>
      <c r="B218" s="3">
        <f>IF(A218="","",TEXT(A218,"ddd"))</f>
        <v/>
      </c>
      <c r="C218" s="3" t="inlineStr">
        <is>
          <t>Stir fried vegetable</t>
        </is>
      </c>
      <c r="D218" s="3" t="inlineStr">
        <is>
          <t>planned (week of 14 Sep 2026) - hardy green, day 5</t>
        </is>
      </c>
    </row>
    <row r="219">
      <c r="A219" s="8" t="n">
        <v>46283</v>
      </c>
      <c r="B219" s="3">
        <f>IF(A219="","",TEXT(A219,"ddd"))</f>
        <v/>
      </c>
      <c r="C219" s="3" t="inlineStr">
        <is>
          <t>Steamed rice</t>
        </is>
      </c>
      <c r="D219" s="3" t="inlineStr">
        <is>
          <t>planned (week of 14 Sep 2026)</t>
        </is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>
        <is>
          <t>Recipe file deleted - had no quantities or servings. Re-add from https://www.youtube.com/watch?v=aMD3MLJRV38</t>
        </is>
      </c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  <row r="171">
      <c r="A171" t="inlineStr">
        <is>
          <t>Cereal pork chop</t>
        </is>
      </c>
      <c r="B171" t="inlineStr">
        <is>
          <t>Pork</t>
        </is>
      </c>
      <c r="C171">
        <f>IFERROR(IF(MAXIFS('Cook log'!A2:A1000,'Cook log'!C2:C1000,A171)=0,"",MAXIFS('Cook log'!A2:A1000,'Cook log'!C2:C1000,A171)),"")</f>
        <v/>
      </c>
      <c r="D171">
        <f>IF(C171="","",TODAY()-C171)</f>
        <v/>
      </c>
      <c r="E171">
        <f>COUNTIF('Cook log'!C2:C1000,A171)</f>
        <v/>
      </c>
      <c r="F171" t="n">
        <v>21</v>
      </c>
      <c r="G171">
        <f>IF(C171="","Never cooked",IF(D171&lt;F171,"Cooldown","Due"))</f>
        <v/>
      </c>
      <c r="H171" t="inlineStr">
        <is>
          <t>Deep-fried; toss in buttery cereal</t>
        </is>
      </c>
    </row>
    <row r="172">
      <c r="A172" t="inlineStr">
        <is>
          <t>Braised pork ribs</t>
        </is>
      </c>
      <c r="B172" t="inlineStr">
        <is>
          <t>Pork</t>
        </is>
      </c>
      <c r="C172">
        <f>IFERROR(IF(MAXIFS('Cook log'!A2:A1000,'Cook log'!C2:C1000,A172)=0,"",MAXIFS('Cook log'!A2:A1000,'Cook log'!C2:C1000,A172)),"")</f>
        <v/>
      </c>
      <c r="D172">
        <f>IF(C172="","",TODAY()-C172)</f>
        <v/>
      </c>
      <c r="E172">
        <f>COUNTIF('Cook log'!C2:C1000,A172)</f>
        <v/>
      </c>
      <c r="F172" t="n">
        <v>21</v>
      </c>
      <c r="G172">
        <f>IF(C172="","Never cooked",IF(D172&lt;F172,"Cooldown","Due"))</f>
        <v/>
      </c>
      <c r="H172" t="inlineStr">
        <is>
          <t>1 cup rice wine - long braise</t>
        </is>
      </c>
    </row>
    <row r="173">
      <c r="A173" t="inlineStr">
        <is>
          <t>Pork krapow (Pad Kra Pao)</t>
        </is>
      </c>
      <c r="B173" t="inlineStr">
        <is>
          <t>Pork</t>
        </is>
      </c>
      <c r="C173">
        <f>IFERROR(IF(MAXIFS('Cook log'!A2:A1000,'Cook log'!C2:C1000,A173)=0,"",MAXIFS('Cook log'!A2:A1000,'Cook log'!C2:C1000,A173)),"")</f>
        <v/>
      </c>
      <c r="D173">
        <f>IF(C173="","",TODAY()-C173)</f>
        <v/>
      </c>
      <c r="E173">
        <f>COUNTIF('Cook log'!C2:C1000,A173)</f>
        <v/>
      </c>
      <c r="F173" t="n">
        <v>21</v>
      </c>
      <c r="G173">
        <f>IF(C173="","Never cooked",IF(D173&lt;F173,"Cooldown","Due"))</f>
        <v/>
      </c>
      <c r="H173" t="inlineStr">
        <is>
          <t>Thai holy basil stir-fry; recipe written for chicken, pork works</t>
        </is>
      </c>
    </row>
    <row r="174">
      <c r="A174" t="inlineStr">
        <is>
          <t>Braised mushrooms with spinach</t>
        </is>
      </c>
      <c r="B174" t="inlineStr">
        <is>
          <t>Vegetable</t>
        </is>
      </c>
      <c r="C174">
        <f>IFERROR(IF(MAXIFS('Cook log'!A2:A1000,'Cook log'!C2:C1000,A174)=0,"",MAXIFS('Cook log'!A2:A1000,'Cook log'!C2:C1000,A174)),"")</f>
        <v/>
      </c>
      <c r="D174">
        <f>IF(C174="","",TODAY()-C174)</f>
        <v/>
      </c>
      <c r="E174">
        <f>COUNTIF('Cook log'!C2:C1000,A174)</f>
        <v/>
      </c>
      <c r="F174" t="n">
        <v>21</v>
      </c>
      <c r="G174">
        <f>IF(C174="","Never cooked",IF(D174&lt;F174,"Cooldown","Due"))</f>
        <v/>
      </c>
      <c r="H174" t="inlineStr">
        <is>
          <t>recipes/braised-mushrooms-spinach.md - recipe existed with no rotation row</t>
        </is>
      </c>
    </row>
    <row r="175">
      <c r="A175" t="inlineStr">
        <is>
          <t>Crispy fried tofu with meat floss</t>
        </is>
      </c>
      <c r="B175" t="inlineStr">
        <is>
          <t>Vegetable</t>
        </is>
      </c>
      <c r="C175">
        <f>IFERROR(IF(MAXIFS('Cook log'!A2:A1000,'Cook log'!C2:C1000,A175)=0,"",MAXIFS('Cook log'!A2:A1000,'Cook log'!C2:C1000,A175)),"")</f>
        <v/>
      </c>
      <c r="D175">
        <f>IF(C175="","",TODAY()-C175)</f>
        <v/>
      </c>
      <c r="E175">
        <f>COUNTIF('Cook log'!C2:C1000,A175)</f>
        <v/>
      </c>
      <c r="F175" t="n">
        <v>21</v>
      </c>
      <c r="G175">
        <f>IF(C175="","Never cooked",IF(D175&lt;F175,"Cooldown","Due"))</f>
        <v/>
      </c>
      <c r="H175" t="inlineStr">
        <is>
          <t>Omit sesame oil; sub chicken stock powder for mushroom granules</t>
        </is>
      </c>
    </row>
    <row r="176">
      <c r="A176" t="inlineStr">
        <is>
          <t>Pan-fried threadfin with leek</t>
        </is>
      </c>
      <c r="B176" t="inlineStr">
        <is>
          <t>Fish</t>
        </is>
      </c>
      <c r="C176">
        <f>IFERROR(IF(MAXIFS('Cook log'!A2:A1000,'Cook log'!C2:C1000,A176)=0,"",MAXIFS('Cook log'!A2:A1000,'Cook log'!C2:C1000,A176)),"")</f>
        <v/>
      </c>
      <c r="D176">
        <f>IF(C176="","",TODAY()-C176)</f>
        <v/>
      </c>
      <c r="E176">
        <f>COUNTIF('Cook log'!C2:C1000,A176)</f>
        <v/>
      </c>
      <c r="F176" t="n">
        <v>21</v>
      </c>
      <c r="G176">
        <f>IF(C176="","Never cooked",IF(D176&lt;F176,"Cooldown","Due"))</f>
        <v/>
      </c>
      <c r="H176" t="inlineStr">
        <is>
          <t>Household - Mia improvises</t>
        </is>
      </c>
    </row>
    <row r="177">
      <c r="A177" t="inlineStr">
        <is>
          <t>Tofu with preserved vegetable</t>
        </is>
      </c>
      <c r="B177" t="inlineStr">
        <is>
          <t>Vegetable</t>
        </is>
      </c>
      <c r="C177">
        <f>IFERROR(IF(MAXIFS('Cook log'!A2:A1000,'Cook log'!C2:C1000,A177)=0,"",MAXIFS('Cook log'!A2:A1000,'Cook log'!C2:C1000,A177)),"")</f>
        <v/>
      </c>
      <c r="D177">
        <f>IF(C177="","",TODAY()-C177)</f>
        <v/>
      </c>
      <c r="E177">
        <f>COUNTIF('Cook log'!C2:C1000,A177)</f>
        <v/>
      </c>
      <c r="F177" t="n">
        <v>21</v>
      </c>
      <c r="G177">
        <f>IF(C177="","Never cooked",IF(D177&lt;F177,"Cooldown","Due"))</f>
        <v/>
      </c>
      <c r="H177" t="inlineStr">
        <is>
          <t>Household - chai poh tofu; rinse the preserved veg well</t>
        </is>
      </c>
    </row>
    <row r="178">
      <c r="A178" t="inlineStr">
        <is>
          <t>Hokkien gai fan</t>
        </is>
      </c>
      <c r="B178" t="inlineStr">
        <is>
          <t>Rice</t>
        </is>
      </c>
      <c r="C178">
        <f>IFERROR(IF(MAXIFS('Cook log'!A2:A1000,'Cook log'!C2:C1000,A178)=0,"",MAXIFS('Cook log'!A2:A1000,'Cook log'!C2:C1000,A178)),"")</f>
        <v/>
      </c>
      <c r="D178">
        <f>IF(C178="","",TODAY()-C178)</f>
        <v/>
      </c>
      <c r="E178">
        <f>COUNTIF('Cook log'!C2:C1000,A178)</f>
        <v/>
      </c>
      <c r="F178" t="n">
        <v>21</v>
      </c>
      <c r="G178">
        <f>IF(C178="","Never cooked",IF(D178&lt;F178,"Cooldown","Due"))</f>
        <v/>
      </c>
      <c r="H178" t="inlineStr">
        <is>
          <t>Household - Mia knows it</t>
        </is>
      </c>
    </row>
    <row r="179">
      <c r="A179" t="inlineStr">
        <is>
          <t>Satay</t>
        </is>
      </c>
      <c r="B179" t="inlineStr">
        <is>
          <t>Other</t>
        </is>
      </c>
      <c r="C179">
        <f>IFERROR(IF(MAXIFS('Cook log'!A2:A1000,'Cook log'!C2:C1000,A179)=0,"",MAXIFS('Cook log'!A2:A1000,'Cook log'!C2:C1000,A179)),"")</f>
        <v/>
      </c>
      <c r="D179">
        <f>IF(C179="","",TODAY()-C179)</f>
        <v/>
      </c>
      <c r="E179">
        <f>COUNTIF('Cook log'!C2:C1000,A179)</f>
        <v/>
      </c>
      <c r="F179" t="n">
        <v>28</v>
      </c>
      <c r="G179">
        <f>IF(C179="","Never cooked",IF(D179&lt;F179,"Cooldown","Due"))</f>
        <v/>
      </c>
      <c r="H179" t="inlineStr">
        <is>
          <t>Usually bought/frozen; reheat through</t>
        </is>
      </c>
    </row>
    <row r="180">
      <c r="A180" s="3" t="inlineStr">
        <is>
          <t>Braised meatballs in oyster sauce 蚝油焖肉丸</t>
        </is>
      </c>
      <c r="B180" s="3" t="inlineStr">
        <is>
          <t>Pork</t>
        </is>
      </c>
      <c r="F180" s="3" t="n">
        <v>21</v>
      </c>
      <c r="H180" s="3" t="inlineStr">
        <is>
          <t>recipes/braised-meatballs-oyster-sauce.md - prawn+pork meatballs, braised. Recipe serves 3-4. Clean: no tomato/sesame/mushroom/wine</t>
        </is>
      </c>
    </row>
    <row r="181">
      <c r="A181" s="3" t="inlineStr">
        <is>
          <t>Buta don 豚丼</t>
        </is>
      </c>
      <c r="B181" s="3" t="inlineStr">
        <is>
          <t>Rice</t>
        </is>
      </c>
      <c r="F181" s="3" t="n">
        <v>21</v>
      </c>
      <c r="H181" s="3" t="inlineStr">
        <is>
          <t>recipes/buta-don.md - recipe PRE-SCALED to 6.5 pax. 195ml sake + 195ml mirin; optional raw yolks MUST be omitted</t>
        </is>
      </c>
    </row>
    <row r="182">
      <c r="A182" s="3" t="inlineStr">
        <is>
          <t>Taiwanese beef noodle soup 红烧牛肉面</t>
        </is>
      </c>
      <c r="B182" s="3" t="inlineStr">
        <is>
          <t>Noodle</t>
        </is>
      </c>
      <c r="F182" s="3" t="n">
        <v>21</v>
      </c>
      <c r="H182" s="3" t="inlineStr">
        <is>
          <t>recipes/taiwanese-beef-noodle-soup.md - PRE-SCALED to 6.5 pax. Tomato + doubanjiang base; spicy, no child dish if served alone</t>
        </is>
      </c>
    </row>
    <row r="183">
      <c r="A183" s="3" t="inlineStr">
        <is>
          <t>Chicken parm sandwich</t>
        </is>
      </c>
      <c r="B183" s="3" t="inlineStr">
        <is>
          <t>Western</t>
        </is>
      </c>
      <c r="F183" s="3" t="n">
        <v>21</v>
      </c>
      <c r="H183" s="3" t="inlineStr">
        <is>
          <t>recipes/chicken-parm-sandwich.md - vodka sauce, tomato now OK. Chilli flakes marked optional - omit for child</t>
        </is>
      </c>
    </row>
    <row r="184">
      <c r="A184" s="3" t="inlineStr">
        <is>
          <t>Balinese braised beef</t>
        </is>
      </c>
      <c r="B184" s="3" t="inlineStr">
        <is>
          <t>Beef</t>
        </is>
      </c>
      <c r="F184" s="3" t="n">
        <v>28</v>
      </c>
      <c r="H184" s="3" t="inlineStr">
        <is>
          <t>recipes/balinese-braised-beef.md - mild chilli flakes 1/2 tsp; elaborate-ish braise</t>
        </is>
      </c>
    </row>
    <row r="185">
      <c r="A185" s="3" t="inlineStr">
        <is>
          <t>Curry fish head 咖喱鱼头</t>
        </is>
      </c>
      <c r="B185" s="3" t="inlineStr">
        <is>
          <t>Fish</t>
        </is>
      </c>
      <c r="F185" s="3" t="n">
        <v>21</v>
      </c>
      <c r="H185" s="3" t="inlineStr">
        <is>
          <t>recipes/curry-fish-head.md - using fish FILLET not head. Nyonya rempah, tomato+eggplant+long beans+okra. Never cooked</t>
        </is>
      </c>
    </row>
    <row r="186">
      <c r="A186" s="3" t="inlineStr">
        <is>
          <t>Braised duck (Ah Gong's recipe) 卤鸭</t>
        </is>
      </c>
      <c r="B186" s="3" t="inlineStr">
        <is>
          <t>Other</t>
        </is>
      </c>
      <c r="F186" s="3" t="n">
        <v>35</v>
      </c>
      <c r="H186" s="3" t="inlineStr">
        <is>
          <t>recipes/braised-duck-ah-gong-recipe.md - Fully confirmed via Ah Gong's own WhatsApp messages. Separate rotation entry so it doesn't collide with the Teochew version. Never cooked.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2026-05-10T13:44:45Z</dcterms:created>
  <dcterms:modified xsi:type="dcterms:W3CDTF">2026-09-20T10:51:17Z</dcterms:modified>
</cp:coreProperties>
</file>