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ok log" sheetId="1" state="visible" r:id="rId1"/>
    <sheet xmlns:r="http://schemas.openxmlformats.org/officeDocument/2006/relationships" name="Dish rotation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'Cook log'!$A$1:$D$300</definedName>
    <definedName name="_xlnm._FilterDatabase" localSheetId="1" hidden="1">'Dish rotation'!$A$1:$H$71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i val="1"/>
        <color rgb="002F5496"/>
        <sz val="10"/>
      </font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2" customWidth="1" min="3" max="3"/>
    <col width="32" customWidth="1" min="4" max="4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Dish</t>
        </is>
      </c>
      <c r="D1" s="1" t="inlineStr">
        <is>
          <t>Notes</t>
        </is>
      </c>
    </row>
    <row r="2">
      <c r="A2" s="2" t="n">
        <v>46153</v>
      </c>
      <c r="B2" s="3">
        <f>IF(A2="","",TEXT(A2,"ddd"))</f>
        <v/>
      </c>
      <c r="C2" t="inlineStr">
        <is>
          <t>Taiwanese pork chop</t>
        </is>
      </c>
      <c r="D2" t="inlineStr">
        <is>
          <t>planned (week of 11 May 2026)</t>
        </is>
      </c>
    </row>
    <row r="3">
      <c r="A3" s="2" t="n">
        <v>46153</v>
      </c>
      <c r="B3" s="3">
        <f>IF(A3="","",TEXT(A3,"ddd"))</f>
        <v/>
      </c>
      <c r="C3" t="inlineStr">
        <is>
          <t>Fried rice with prawns</t>
        </is>
      </c>
      <c r="D3" t="inlineStr">
        <is>
          <t>planned (week of 11 May 2026)</t>
        </is>
      </c>
    </row>
    <row r="4">
      <c r="A4" s="2" t="n">
        <v>46154</v>
      </c>
      <c r="B4" s="3">
        <f>IF(A4="","",TEXT(A4,"ddd"))</f>
        <v/>
      </c>
      <c r="C4" t="inlineStr">
        <is>
          <t>Steamed pomfret</t>
        </is>
      </c>
      <c r="D4" t="inlineStr">
        <is>
          <t>planned (week of 11 May 2026)</t>
        </is>
      </c>
    </row>
    <row r="5">
      <c r="A5" s="2" t="n">
        <v>46154</v>
      </c>
      <c r="B5" s="3">
        <f>IF(A5="","",TEXT(A5,"ddd"))</f>
        <v/>
      </c>
      <c r="C5" t="inlineStr">
        <is>
          <t>Pork rib king</t>
        </is>
      </c>
      <c r="D5" t="inlineStr">
        <is>
          <t>planned (week of 11 May 2026)</t>
        </is>
      </c>
    </row>
    <row r="6">
      <c r="A6" s="2" t="n">
        <v>46154</v>
      </c>
      <c r="B6" s="3">
        <f>IF(A6="","",TEXT(A6,"ddd"))</f>
        <v/>
      </c>
      <c r="C6" t="inlineStr">
        <is>
          <t>Eggplant with minced pork</t>
        </is>
      </c>
      <c r="D6" t="inlineStr">
        <is>
          <t>planned (week of 11 May 2026)</t>
        </is>
      </c>
    </row>
    <row r="7">
      <c r="A7" s="2" t="n">
        <v>46155</v>
      </c>
      <c r="B7" s="3">
        <f>IF(A7="","",TEXT(A7,"ddd"))</f>
        <v/>
      </c>
      <c r="C7" t="inlineStr">
        <is>
          <t>Ee-fu mee</t>
        </is>
      </c>
      <c r="D7" t="inlineStr">
        <is>
          <t>planned (week of 11 May 2026)</t>
        </is>
      </c>
    </row>
    <row r="8">
      <c r="A8" s="2" t="n">
        <v>46155</v>
      </c>
      <c r="B8" s="3">
        <f>IF(A8="","",TEXT(A8,"ddd"))</f>
        <v/>
      </c>
      <c r="C8" t="inlineStr">
        <is>
          <t>HK style steamed seabass</t>
        </is>
      </c>
      <c r="D8" t="inlineStr">
        <is>
          <t>planned (week of 11 May 2026)</t>
        </is>
      </c>
    </row>
    <row r="9">
      <c r="A9" s="2" t="n">
        <v>46156</v>
      </c>
      <c r="B9" s="3">
        <f>IF(A9="","",TEXT(A9,"ddd"))</f>
        <v/>
      </c>
      <c r="C9" t="inlineStr">
        <is>
          <t>Steamed egg (ah gong style)</t>
        </is>
      </c>
      <c r="D9" t="inlineStr">
        <is>
          <t>planned (week of 11 May 2026)</t>
        </is>
      </c>
    </row>
    <row r="10">
      <c r="A10" s="2" t="n">
        <v>46156</v>
      </c>
      <c r="B10" s="3">
        <f>IF(A10="","",TEXT(A10,"ddd"))</f>
        <v/>
      </c>
      <c r="C10" t="inlineStr">
        <is>
          <t>Radish pork rib soup with dates</t>
        </is>
      </c>
      <c r="D10" t="inlineStr">
        <is>
          <t>planned (week of 11 May 2026)</t>
        </is>
      </c>
    </row>
    <row r="11">
      <c r="A11" s="2" t="n">
        <v>46156</v>
      </c>
      <c r="B11" s="3">
        <f>IF(A11="","",TEXT(A11,"ddd"))</f>
        <v/>
      </c>
      <c r="C11" t="inlineStr">
        <is>
          <t>Wasabi mayo prawns</t>
        </is>
      </c>
      <c r="D11" t="inlineStr">
        <is>
          <t>planned (week of 11 May 2026)</t>
        </is>
      </c>
    </row>
    <row r="12">
      <c r="A12" s="2" t="n">
        <v>46157</v>
      </c>
      <c r="B12" s="3">
        <f>IF(A12="","",TEXT(A12,"ddd"))</f>
        <v/>
      </c>
      <c r="C12" t="inlineStr">
        <is>
          <t>Chicken chop</t>
        </is>
      </c>
      <c r="D12" t="inlineStr">
        <is>
          <t>planned (week of 11 May 2026)</t>
        </is>
      </c>
    </row>
    <row r="13">
      <c r="A13" s="2" t="n">
        <v>46157</v>
      </c>
      <c r="B13" s="3">
        <f>IF(A13="","",TEXT(A13,"ddd"))</f>
        <v/>
      </c>
      <c r="C13" t="inlineStr">
        <is>
          <t>Mash potatoes</t>
        </is>
      </c>
      <c r="D13" t="inlineStr">
        <is>
          <t>planned (week of 11 May 2026)</t>
        </is>
      </c>
    </row>
    <row r="14">
      <c r="A14" s="2" t="n">
        <v>46157</v>
      </c>
      <c r="B14" s="3">
        <f>IF(A14="","",TEXT(A14,"ddd"))</f>
        <v/>
      </c>
      <c r="C14" t="inlineStr">
        <is>
          <t>Roasted vegetables (oven)</t>
        </is>
      </c>
      <c r="D14" t="inlineStr">
        <is>
          <t>planned (week of 11 May 2026)</t>
        </is>
      </c>
    </row>
    <row r="15">
      <c r="A15" s="2" t="n">
        <v>46159</v>
      </c>
      <c r="B15" s="3">
        <f>IF(A15="","",TEXT(A15,"ddd"))</f>
        <v/>
      </c>
      <c r="C15" t="inlineStr">
        <is>
          <t>Rösti</t>
        </is>
      </c>
      <c r="D15" t="inlineStr">
        <is>
          <t>planned (week of 18 May 2026)</t>
        </is>
      </c>
    </row>
    <row r="16">
      <c r="A16" s="2" t="n">
        <v>46160</v>
      </c>
      <c r="B16" s="3">
        <f>IF(A16="","",TEXT(A16,"ddd"))</f>
        <v/>
      </c>
      <c r="C16" t="inlineStr">
        <is>
          <t>Chicken noodle soup</t>
        </is>
      </c>
      <c r="D16" t="inlineStr">
        <is>
          <t>planned (week of 18 May 2026)</t>
        </is>
      </c>
    </row>
    <row r="17">
      <c r="A17" s="2" t="n">
        <v>46161</v>
      </c>
      <c r="B17" s="3">
        <f>IF(A17="","",TEXT(A17,"ddd"))</f>
        <v/>
      </c>
      <c r="C17" t="inlineStr">
        <is>
          <t>Sweet and sour pork</t>
        </is>
      </c>
      <c r="D17" t="inlineStr">
        <is>
          <t>planned (week of 18 May 2026)</t>
        </is>
      </c>
    </row>
    <row r="18">
      <c r="A18" s="2" t="n">
        <v>46161</v>
      </c>
      <c r="B18" s="3">
        <f>IF(A18="","",TEXT(A18,"ddd"))</f>
        <v/>
      </c>
      <c r="C18" t="inlineStr">
        <is>
          <t>Prawn pancake</t>
        </is>
      </c>
      <c r="D18" t="inlineStr">
        <is>
          <t>planned (week of 18 May 2026)</t>
        </is>
      </c>
    </row>
    <row r="19">
      <c r="A19" s="2" t="n">
        <v>46161</v>
      </c>
      <c r="B19" s="3">
        <f>IF(A19="","",TEXT(A19,"ddd"))</f>
        <v/>
      </c>
      <c r="C19" t="inlineStr">
        <is>
          <t>Stir fried dou miao</t>
        </is>
      </c>
      <c r="D19" t="inlineStr">
        <is>
          <t>planned (week of 18 May 2026)</t>
        </is>
      </c>
    </row>
    <row r="20">
      <c r="A20" s="2" t="n">
        <v>46162</v>
      </c>
      <c r="B20" s="3">
        <f>IF(A20="","",TEXT(A20,"ddd"))</f>
        <v/>
      </c>
      <c r="C20" t="inlineStr">
        <is>
          <t>Japanese curry rice</t>
        </is>
      </c>
      <c r="D20" t="inlineStr">
        <is>
          <t>planned (week of 18 May 2026)</t>
        </is>
      </c>
    </row>
    <row r="21">
      <c r="A21" s="2" t="n">
        <v>46164</v>
      </c>
      <c r="B21" s="3">
        <f>IF(A21="","",TEXT(A21,"ddd"))</f>
        <v/>
      </c>
      <c r="C21" t="inlineStr">
        <is>
          <t>Threadfin kabayaki</t>
        </is>
      </c>
      <c r="D21" t="inlineStr">
        <is>
          <t>planned (week of 18 May 2026)</t>
        </is>
      </c>
    </row>
    <row r="22">
      <c r="A22" s="2" t="n">
        <v>46164</v>
      </c>
      <c r="B22" s="3">
        <f>IF(A22="","",TEXT(A22,"ddd"))</f>
        <v/>
      </c>
      <c r="C22" t="inlineStr">
        <is>
          <t>Tamagoyaki</t>
        </is>
      </c>
      <c r="D22" t="inlineStr">
        <is>
          <t>planned (week of 18 May 2026)</t>
        </is>
      </c>
    </row>
    <row r="23">
      <c r="A23" s="2" t="n">
        <v>46167</v>
      </c>
      <c r="B23" s="3">
        <f>IF(A23="","",TEXT(A23,"ddd"))</f>
        <v/>
      </c>
      <c r="C23" t="inlineStr">
        <is>
          <t>Nasi lemak</t>
        </is>
      </c>
      <c r="D23" t="inlineStr">
        <is>
          <t>planned (week of 25 May 2026)</t>
        </is>
      </c>
    </row>
    <row r="24">
      <c r="A24" s="2" t="n">
        <v>46167</v>
      </c>
      <c r="B24" s="3">
        <f>IF(A24="","",TEXT(A24,"ddd"))</f>
        <v/>
      </c>
      <c r="C24" t="inlineStr">
        <is>
          <t>Korean fried chicken wings</t>
        </is>
      </c>
      <c r="D24" t="inlineStr">
        <is>
          <t>planned (week of 25 May 2026) — honey soy</t>
        </is>
      </c>
    </row>
    <row r="25">
      <c r="A25" s="2" t="n">
        <v>46167</v>
      </c>
      <c r="B25" s="3">
        <f>IF(A25="","",TEXT(A25,"ddd"))</f>
        <v/>
      </c>
      <c r="C25" t="inlineStr">
        <is>
          <t>Egg omelette</t>
        </is>
      </c>
      <c r="D25" t="inlineStr">
        <is>
          <t>planned (week of 25 May 2026)</t>
        </is>
      </c>
    </row>
    <row r="26">
      <c r="A26" s="2" t="n">
        <v>46167</v>
      </c>
      <c r="B26" s="3">
        <f>IF(A26="","",TEXT(A26,"ddd"))</f>
        <v/>
      </c>
      <c r="C26" t="inlineStr">
        <is>
          <t>Sambal kangkong</t>
        </is>
      </c>
      <c r="D26" t="inlineStr">
        <is>
          <t>planned (week of 25 May 2026)</t>
        </is>
      </c>
    </row>
    <row r="27">
      <c r="A27" s="2" t="n">
        <v>46167</v>
      </c>
      <c r="B27" s="3">
        <f>IF(A27="","",TEXT(A27,"ddd"))</f>
        <v/>
      </c>
      <c r="C27" t="inlineStr">
        <is>
          <t>Ikan bilis</t>
        </is>
      </c>
      <c r="D27" t="inlineStr">
        <is>
          <t>planned (week of 25 May 2026)</t>
        </is>
      </c>
    </row>
    <row r="28">
      <c r="A28" s="2" t="n">
        <v>46168</v>
      </c>
      <c r="B28" s="3">
        <f>IF(A28="","",TEXT(A28,"ddd"))</f>
        <v/>
      </c>
      <c r="C28" t="inlineStr">
        <is>
          <t>Beancurd meat rolls</t>
        </is>
      </c>
      <c r="D28" t="inlineStr">
        <is>
          <t>planned (week of 25 May 2026)</t>
        </is>
      </c>
    </row>
    <row r="29">
      <c r="A29" s="2" t="n">
        <v>46168</v>
      </c>
      <c r="B29" s="3">
        <f>IF(A29="","",TEXT(A29,"ddd"))</f>
        <v/>
      </c>
      <c r="C29" t="inlineStr">
        <is>
          <t>Fried yellow croaker</t>
        </is>
      </c>
      <c r="D29" t="inlineStr">
        <is>
          <t>planned (week of 25 May 2026)</t>
        </is>
      </c>
    </row>
    <row r="30">
      <c r="A30" s="2" t="n">
        <v>46168</v>
      </c>
      <c r="B30" s="3">
        <f>IF(A30="","",TEXT(A30,"ddd"))</f>
        <v/>
      </c>
      <c r="C30" t="inlineStr">
        <is>
          <t>Lotus root pork rib soup</t>
        </is>
      </c>
      <c r="D30" t="inlineStr">
        <is>
          <t>planned (week of 25 May 2026)</t>
        </is>
      </c>
    </row>
    <row r="31">
      <c r="A31" s="2" t="n">
        <v>46170</v>
      </c>
      <c r="B31" s="3">
        <f>IF(A31="","",TEXT(A31,"ddd"))</f>
        <v/>
      </c>
      <c r="C31" t="inlineStr">
        <is>
          <t>Steamed egg tofu with minced pork</t>
        </is>
      </c>
      <c r="D31" t="inlineStr">
        <is>
          <t>planned (week of 25 May 2026) — with dried scallop</t>
        </is>
      </c>
    </row>
    <row r="32">
      <c r="A32" s="2" t="n">
        <v>46170</v>
      </c>
      <c r="B32" s="3">
        <f>IF(A32="","",TEXT(A32,"ddd"))</f>
        <v/>
      </c>
      <c r="C32" t="inlineStr">
        <is>
          <t>Pandan chicken</t>
        </is>
      </c>
      <c r="D32" t="inlineStr">
        <is>
          <t>planned (week of 25 May 2026)</t>
        </is>
      </c>
    </row>
    <row r="33">
      <c r="A33" s="2" t="n">
        <v>46170</v>
      </c>
      <c r="B33" s="3">
        <f>IF(A33="","",TEXT(A33,"ddd"))</f>
        <v/>
      </c>
      <c r="C33" t="inlineStr">
        <is>
          <t>Stir fried vegetable</t>
        </is>
      </c>
      <c r="D33" t="inlineStr">
        <is>
          <t>planned (week of 25 May 2026)</t>
        </is>
      </c>
    </row>
    <row r="34">
      <c r="A34" s="2" t="n">
        <v>46171</v>
      </c>
      <c r="B34" s="3">
        <f>IF(A34="","",TEXT(A34,"ddd"))</f>
        <v/>
      </c>
      <c r="C34" t="inlineStr">
        <is>
          <t>Beef stew</t>
        </is>
      </c>
      <c r="D34" t="inlineStr">
        <is>
          <t>planned (week of 25 May 2026)</t>
        </is>
      </c>
    </row>
    <row r="35">
      <c r="A35" s="2" t="n">
        <v>46171</v>
      </c>
      <c r="B35" s="3">
        <f>IF(A35="","",TEXT(A35,"ddd"))</f>
        <v/>
      </c>
      <c r="C35" t="inlineStr">
        <is>
          <t>Garlic bread</t>
        </is>
      </c>
      <c r="D35" t="inlineStr">
        <is>
          <t>planned (week of 25 May 2026)</t>
        </is>
      </c>
    </row>
    <row r="36">
      <c r="A36" s="2" t="n">
        <v>46168</v>
      </c>
      <c r="B36" s="3">
        <f>IF(A36="","",TEXT(A36,"ddd"))</f>
        <v/>
      </c>
      <c r="C36" t="inlineStr">
        <is>
          <t>Japanese mushroom rice</t>
        </is>
      </c>
      <c r="D36" t="inlineStr">
        <is>
          <t>planned (week of 25 May 2026)</t>
        </is>
      </c>
    </row>
    <row r="37">
      <c r="A37" s="2" t="n">
        <v>46173</v>
      </c>
      <c r="B37" s="3">
        <f>IF(A37="","",TEXT(A37,"ddd"))</f>
        <v/>
      </c>
      <c r="C37" t="inlineStr">
        <is>
          <t>Spinach ban mian</t>
        </is>
      </c>
      <c r="D37" t="inlineStr">
        <is>
          <t>planned (week of 1 Jun 2026)</t>
        </is>
      </c>
    </row>
    <row r="38">
      <c r="A38" s="2" t="n">
        <v>46175</v>
      </c>
      <c r="B38" s="3">
        <f>IF(A38="","",TEXT(A38,"ddd"))</f>
        <v/>
      </c>
      <c r="C38" t="inlineStr">
        <is>
          <t>Japanese miso butter mushroom</t>
        </is>
      </c>
      <c r="D38" t="inlineStr">
        <is>
          <t>planned (week of 1 Jun 2026)</t>
        </is>
      </c>
    </row>
    <row r="39">
      <c r="A39" s="2" t="n">
        <v>46175</v>
      </c>
      <c r="B39" s="3">
        <f>IF(A39="","",TEXT(A39,"ddd"))</f>
        <v/>
      </c>
      <c r="C39" t="inlineStr">
        <is>
          <t>Fishball minced pork soup</t>
        </is>
      </c>
      <c r="D39" t="inlineStr">
        <is>
          <t>planned (week of 1 Jun 2026)</t>
        </is>
      </c>
    </row>
    <row r="40">
      <c r="A40" s="2" t="n">
        <v>46175</v>
      </c>
      <c r="B40" s="3">
        <f>IF(A40="","",TEXT(A40,"ddd"))</f>
        <v/>
      </c>
      <c r="C40" t="inlineStr">
        <is>
          <t>Sticky pork belly</t>
        </is>
      </c>
      <c r="D40" t="inlineStr">
        <is>
          <t>planned (week of 1 Jun 2026)</t>
        </is>
      </c>
    </row>
    <row r="41">
      <c r="A41" s="2" t="n">
        <v>46176</v>
      </c>
      <c r="B41" s="3">
        <f>IF(A41="","",TEXT(A41,"ddd"))</f>
        <v/>
      </c>
      <c r="C41" t="inlineStr">
        <is>
          <t>Cheesy baked rice</t>
        </is>
      </c>
      <c r="D41" t="inlineStr">
        <is>
          <t>planned (week of 1 Jun 2026)</t>
        </is>
      </c>
    </row>
    <row r="42">
      <c r="A42" s="2" t="n">
        <v>46177</v>
      </c>
      <c r="B42" s="3">
        <f>IF(A42="","",TEXT(A42,"ddd"))</f>
        <v/>
      </c>
      <c r="C42" t="inlineStr">
        <is>
          <t>Claypot tofu</t>
        </is>
      </c>
      <c r="D42" t="inlineStr">
        <is>
          <t>planned (week of 1 Jun 2026)</t>
        </is>
      </c>
    </row>
    <row r="43">
      <c r="A43" s="2" t="n">
        <v>46177</v>
      </c>
      <c r="B43" s="3">
        <f>IF(A43="","",TEXT(A43,"ddd"))</f>
        <v/>
      </c>
      <c r="C43" t="inlineStr">
        <is>
          <t>Yang Zhou fried rice</t>
        </is>
      </c>
      <c r="D43" t="inlineStr">
        <is>
          <t>planned (week of 1 Jun 2026)</t>
        </is>
      </c>
    </row>
    <row r="44">
      <c r="A44" s="2" t="n">
        <v>46178</v>
      </c>
      <c r="B44" s="3">
        <f>IF(A44="","",TEXT(A44,"ddd"))</f>
        <v/>
      </c>
      <c r="C44" t="inlineStr">
        <is>
          <t>Stir fried bee hoon</t>
        </is>
      </c>
      <c r="D44" t="inlineStr">
        <is>
          <t>planned (week of 1 Jun 2026)</t>
        </is>
      </c>
    </row>
    <row r="45">
      <c r="A45" s="2" t="n">
        <v>46178</v>
      </c>
      <c r="B45" s="3">
        <f>IF(A45="","",TEXT(A45,"ddd"))</f>
        <v/>
      </c>
      <c r="C45" t="inlineStr">
        <is>
          <t>Thai fishcakes</t>
        </is>
      </c>
      <c r="D45" t="inlineStr">
        <is>
          <t>planned (week of 1 Jun 2026)</t>
        </is>
      </c>
    </row>
    <row r="46">
      <c r="A46" s="2" t="n"/>
      <c r="B46" s="3">
        <f>IF(A46="","",TEXT(A46,"ddd"))</f>
        <v/>
      </c>
    </row>
    <row r="47">
      <c r="A47" s="2" t="n"/>
      <c r="B47" s="3">
        <f>IF(A47="","",TEXT(A47,"ddd"))</f>
        <v/>
      </c>
    </row>
    <row r="48">
      <c r="A48" s="2" t="n"/>
      <c r="B48" s="3">
        <f>IF(A48="","",TEXT(A48,"ddd"))</f>
        <v/>
      </c>
    </row>
    <row r="49">
      <c r="A49" s="2" t="n"/>
      <c r="B49" s="3">
        <f>IF(A49="","",TEXT(A49,"ddd"))</f>
        <v/>
      </c>
    </row>
    <row r="50">
      <c r="A50" s="2" t="n"/>
      <c r="B50" s="3">
        <f>IF(A50="","",TEXT(A50,"ddd"))</f>
        <v/>
      </c>
    </row>
    <row r="51">
      <c r="A51" s="2" t="n"/>
      <c r="B51" s="3">
        <f>IF(A51="","",TEXT(A51,"ddd"))</f>
        <v/>
      </c>
    </row>
    <row r="52">
      <c r="A52" s="2" t="n"/>
      <c r="B52" s="3">
        <f>IF(A52="","",TEXT(A52,"ddd"))</f>
        <v/>
      </c>
    </row>
    <row r="53">
      <c r="A53" s="2" t="n"/>
      <c r="B53" s="3">
        <f>IF(A53="","",TEXT(A53,"ddd"))</f>
        <v/>
      </c>
    </row>
    <row r="54">
      <c r="A54" s="2" t="n"/>
      <c r="B54" s="3">
        <f>IF(A54="","",TEXT(A54,"ddd"))</f>
        <v/>
      </c>
    </row>
    <row r="55">
      <c r="A55" s="2" t="n"/>
      <c r="B55" s="3">
        <f>IF(A55="","",TEXT(A55,"ddd"))</f>
        <v/>
      </c>
    </row>
    <row r="56">
      <c r="A56" s="2" t="n"/>
      <c r="B56" s="3">
        <f>IF(A56="","",TEXT(A56,"ddd"))</f>
        <v/>
      </c>
    </row>
    <row r="57">
      <c r="A57" s="2" t="n"/>
      <c r="B57" s="3">
        <f>IF(A57="","",TEXT(A57,"ddd"))</f>
        <v/>
      </c>
    </row>
    <row r="58">
      <c r="A58" s="2" t="n"/>
      <c r="B58" s="3">
        <f>IF(A58="","",TEXT(A58,"ddd"))</f>
        <v/>
      </c>
    </row>
    <row r="59">
      <c r="A59" s="2" t="n"/>
      <c r="B59" s="3">
        <f>IF(A59="","",TEXT(A59,"ddd"))</f>
        <v/>
      </c>
    </row>
    <row r="60">
      <c r="A60" s="2" t="n"/>
      <c r="B60" s="3">
        <f>IF(A60="","",TEXT(A60,"ddd"))</f>
        <v/>
      </c>
    </row>
    <row r="61">
      <c r="A61" s="2" t="n"/>
      <c r="B61" s="3">
        <f>IF(A61="","",TEXT(A61,"ddd"))</f>
        <v/>
      </c>
    </row>
    <row r="62">
      <c r="A62" s="2" t="n"/>
      <c r="B62" s="3">
        <f>IF(A62="","",TEXT(A62,"ddd"))</f>
        <v/>
      </c>
    </row>
    <row r="63">
      <c r="A63" s="2" t="n"/>
      <c r="B63" s="3">
        <f>IF(A63="","",TEXT(A63,"ddd"))</f>
        <v/>
      </c>
    </row>
    <row r="64">
      <c r="A64" s="2" t="n"/>
      <c r="B64" s="3">
        <f>IF(A64="","",TEXT(A64,"ddd"))</f>
        <v/>
      </c>
    </row>
    <row r="65">
      <c r="A65" s="2" t="n"/>
      <c r="B65" s="3">
        <f>IF(A65="","",TEXT(A65,"ddd"))</f>
        <v/>
      </c>
    </row>
    <row r="66">
      <c r="A66" s="2" t="n"/>
      <c r="B66" s="3">
        <f>IF(A66="","",TEXT(A66,"ddd"))</f>
        <v/>
      </c>
    </row>
    <row r="67">
      <c r="A67" s="2" t="n"/>
      <c r="B67" s="3">
        <f>IF(A67="","",TEXT(A67,"ddd"))</f>
        <v/>
      </c>
    </row>
    <row r="68">
      <c r="A68" s="2" t="n"/>
      <c r="B68" s="3">
        <f>IF(A68="","",TEXT(A68,"ddd"))</f>
        <v/>
      </c>
    </row>
    <row r="69">
      <c r="A69" s="2" t="n"/>
      <c r="B69" s="3">
        <f>IF(A69="","",TEXT(A69,"ddd"))</f>
        <v/>
      </c>
    </row>
    <row r="70">
      <c r="A70" s="2" t="n"/>
      <c r="B70" s="3">
        <f>IF(A70="","",TEXT(A70,"ddd"))</f>
        <v/>
      </c>
    </row>
    <row r="71">
      <c r="A71" s="2" t="n"/>
      <c r="B71" s="3">
        <f>IF(A71="","",TEXT(A71,"ddd"))</f>
        <v/>
      </c>
    </row>
    <row r="72">
      <c r="A72" s="2" t="n"/>
      <c r="B72" s="3">
        <f>IF(A72="","",TEXT(A72,"ddd"))</f>
        <v/>
      </c>
    </row>
    <row r="73">
      <c r="A73" s="2" t="n"/>
      <c r="B73" s="3">
        <f>IF(A73="","",TEXT(A73,"ddd"))</f>
        <v/>
      </c>
    </row>
    <row r="74">
      <c r="A74" s="2" t="n"/>
      <c r="B74" s="3">
        <f>IF(A74="","",TEXT(A74,"ddd"))</f>
        <v/>
      </c>
    </row>
    <row r="75">
      <c r="A75" s="2" t="n"/>
      <c r="B75" s="3">
        <f>IF(A75="","",TEXT(A75,"ddd"))</f>
        <v/>
      </c>
    </row>
    <row r="76">
      <c r="A76" s="2" t="n"/>
      <c r="B76" s="3">
        <f>IF(A76="","",TEXT(A76,"ddd"))</f>
        <v/>
      </c>
    </row>
    <row r="77">
      <c r="A77" s="2" t="n"/>
      <c r="B77" s="3">
        <f>IF(A77="","",TEXT(A77,"ddd"))</f>
        <v/>
      </c>
    </row>
    <row r="78">
      <c r="A78" s="2" t="n"/>
      <c r="B78" s="3">
        <f>IF(A78="","",TEXT(A78,"ddd"))</f>
        <v/>
      </c>
    </row>
    <row r="79">
      <c r="A79" s="2" t="n"/>
      <c r="B79" s="3">
        <f>IF(A79="","",TEXT(A79,"ddd"))</f>
        <v/>
      </c>
    </row>
    <row r="80">
      <c r="A80" s="2" t="n"/>
      <c r="B80" s="3">
        <f>IF(A80="","",TEXT(A80,"ddd"))</f>
        <v/>
      </c>
    </row>
    <row r="81">
      <c r="A81" s="2" t="n"/>
      <c r="B81" s="3">
        <f>IF(A81="","",TEXT(A81,"ddd"))</f>
        <v/>
      </c>
    </row>
    <row r="82">
      <c r="A82" s="2" t="n"/>
      <c r="B82" s="3">
        <f>IF(A82="","",TEXT(A82,"ddd"))</f>
        <v/>
      </c>
    </row>
    <row r="83">
      <c r="A83" s="2" t="n"/>
      <c r="B83" s="3">
        <f>IF(A83="","",TEXT(A83,"ddd"))</f>
        <v/>
      </c>
    </row>
    <row r="84">
      <c r="A84" s="2" t="n"/>
      <c r="B84" s="3">
        <f>IF(A84="","",TEXT(A84,"ddd"))</f>
        <v/>
      </c>
    </row>
    <row r="85">
      <c r="A85" s="2" t="n"/>
      <c r="B85" s="3">
        <f>IF(A85="","",TEXT(A85,"ddd"))</f>
        <v/>
      </c>
    </row>
    <row r="86">
      <c r="A86" s="2" t="n"/>
      <c r="B86" s="3">
        <f>IF(A86="","",TEXT(A86,"ddd"))</f>
        <v/>
      </c>
    </row>
    <row r="87">
      <c r="A87" s="2" t="n"/>
      <c r="B87" s="3">
        <f>IF(A87="","",TEXT(A87,"ddd"))</f>
        <v/>
      </c>
    </row>
    <row r="88">
      <c r="A88" s="2" t="n"/>
      <c r="B88" s="3">
        <f>IF(A88="","",TEXT(A88,"ddd"))</f>
        <v/>
      </c>
    </row>
    <row r="89">
      <c r="A89" s="2" t="n"/>
      <c r="B89" s="3">
        <f>IF(A89="","",TEXT(A89,"ddd"))</f>
        <v/>
      </c>
    </row>
    <row r="90">
      <c r="A90" s="2" t="n"/>
      <c r="B90" s="3">
        <f>IF(A90="","",TEXT(A90,"ddd"))</f>
        <v/>
      </c>
    </row>
    <row r="91">
      <c r="A91" s="2" t="n"/>
      <c r="B91" s="3">
        <f>IF(A91="","",TEXT(A91,"ddd"))</f>
        <v/>
      </c>
    </row>
    <row r="92">
      <c r="A92" s="2" t="n"/>
      <c r="B92" s="3">
        <f>IF(A92="","",TEXT(A92,"ddd"))</f>
        <v/>
      </c>
    </row>
    <row r="93">
      <c r="A93" s="2" t="n"/>
      <c r="B93" s="3">
        <f>IF(A93="","",TEXT(A93,"ddd"))</f>
        <v/>
      </c>
    </row>
    <row r="94">
      <c r="A94" s="2" t="n"/>
      <c r="B94" s="3">
        <f>IF(A94="","",TEXT(A94,"ddd"))</f>
        <v/>
      </c>
    </row>
    <row r="95">
      <c r="A95" s="2" t="n"/>
      <c r="B95" s="3">
        <f>IF(A95="","",TEXT(A95,"ddd"))</f>
        <v/>
      </c>
    </row>
    <row r="96">
      <c r="A96" s="2" t="n"/>
      <c r="B96" s="3">
        <f>IF(A96="","",TEXT(A96,"ddd"))</f>
        <v/>
      </c>
    </row>
    <row r="97">
      <c r="A97" s="2" t="n"/>
      <c r="B97" s="3">
        <f>IF(A97="","",TEXT(A97,"ddd"))</f>
        <v/>
      </c>
    </row>
    <row r="98">
      <c r="A98" s="2" t="n"/>
      <c r="B98" s="3">
        <f>IF(A98="","",TEXT(A98,"ddd"))</f>
        <v/>
      </c>
    </row>
    <row r="99">
      <c r="A99" s="2" t="n"/>
      <c r="B99" s="3">
        <f>IF(A99="","",TEXT(A99,"ddd"))</f>
        <v/>
      </c>
    </row>
    <row r="100">
      <c r="A100" s="2" t="n"/>
      <c r="B100" s="3">
        <f>IF(A100="","",TEXT(A100,"ddd"))</f>
        <v/>
      </c>
    </row>
    <row r="101">
      <c r="A101" s="2" t="n"/>
      <c r="B101" s="3">
        <f>IF(A101="","",TEXT(A101,"ddd"))</f>
        <v/>
      </c>
    </row>
    <row r="102">
      <c r="A102" s="2" t="n"/>
      <c r="B102" s="3">
        <f>IF(A102="","",TEXT(A102,"ddd"))</f>
        <v/>
      </c>
    </row>
    <row r="103">
      <c r="A103" s="2" t="n"/>
      <c r="B103" s="3">
        <f>IF(A103="","",TEXT(A103,"ddd"))</f>
        <v/>
      </c>
    </row>
    <row r="104">
      <c r="A104" s="2" t="n"/>
      <c r="B104" s="3">
        <f>IF(A104="","",TEXT(A104,"ddd"))</f>
        <v/>
      </c>
    </row>
    <row r="105">
      <c r="A105" s="2" t="n"/>
      <c r="B105" s="3">
        <f>IF(A105="","",TEXT(A105,"ddd"))</f>
        <v/>
      </c>
    </row>
    <row r="106">
      <c r="A106" s="2" t="n"/>
      <c r="B106" s="3">
        <f>IF(A106="","",TEXT(A106,"ddd"))</f>
        <v/>
      </c>
    </row>
    <row r="107">
      <c r="A107" s="2" t="n"/>
      <c r="B107" s="3">
        <f>IF(A107="","",TEXT(A107,"ddd"))</f>
        <v/>
      </c>
    </row>
    <row r="108">
      <c r="A108" s="2" t="n"/>
      <c r="B108" s="3">
        <f>IF(A108="","",TEXT(A108,"ddd"))</f>
        <v/>
      </c>
    </row>
    <row r="109">
      <c r="A109" s="2" t="n"/>
      <c r="B109" s="3">
        <f>IF(A109="","",TEXT(A109,"ddd"))</f>
        <v/>
      </c>
    </row>
    <row r="110">
      <c r="A110" s="2" t="n"/>
      <c r="B110" s="3">
        <f>IF(A110="","",TEXT(A110,"ddd"))</f>
        <v/>
      </c>
    </row>
    <row r="111">
      <c r="A111" s="2" t="n"/>
      <c r="B111" s="3">
        <f>IF(A111="","",TEXT(A111,"ddd"))</f>
        <v/>
      </c>
    </row>
    <row r="112">
      <c r="A112" s="2" t="n"/>
      <c r="B112" s="3">
        <f>IF(A112="","",TEXT(A112,"ddd"))</f>
        <v/>
      </c>
    </row>
    <row r="113">
      <c r="A113" s="2" t="n"/>
      <c r="B113" s="3">
        <f>IF(A113="","",TEXT(A113,"ddd"))</f>
        <v/>
      </c>
    </row>
    <row r="114">
      <c r="A114" s="2" t="n"/>
      <c r="B114" s="3">
        <f>IF(A114="","",TEXT(A114,"ddd"))</f>
        <v/>
      </c>
    </row>
    <row r="115">
      <c r="A115" s="2" t="n"/>
      <c r="B115" s="3">
        <f>IF(A115="","",TEXT(A115,"ddd"))</f>
        <v/>
      </c>
    </row>
    <row r="116">
      <c r="A116" s="2" t="n"/>
      <c r="B116" s="3">
        <f>IF(A116="","",TEXT(A116,"ddd"))</f>
        <v/>
      </c>
    </row>
    <row r="117">
      <c r="A117" s="2" t="n"/>
      <c r="B117" s="3">
        <f>IF(A117="","",TEXT(A117,"ddd"))</f>
        <v/>
      </c>
    </row>
    <row r="118">
      <c r="A118" s="2" t="n"/>
      <c r="B118" s="3">
        <f>IF(A118="","",TEXT(A118,"ddd"))</f>
        <v/>
      </c>
    </row>
    <row r="119">
      <c r="A119" s="2" t="n"/>
      <c r="B119" s="3">
        <f>IF(A119="","",TEXT(A119,"ddd"))</f>
        <v/>
      </c>
    </row>
    <row r="120">
      <c r="A120" s="2" t="n"/>
      <c r="B120" s="3">
        <f>IF(A120="","",TEXT(A120,"ddd"))</f>
        <v/>
      </c>
    </row>
    <row r="121">
      <c r="A121" s="2" t="n"/>
      <c r="B121" s="3">
        <f>IF(A121="","",TEXT(A121,"ddd"))</f>
        <v/>
      </c>
    </row>
    <row r="122">
      <c r="A122" s="2" t="n"/>
      <c r="B122" s="3">
        <f>IF(A122="","",TEXT(A122,"ddd"))</f>
        <v/>
      </c>
    </row>
    <row r="123">
      <c r="A123" s="2" t="n"/>
      <c r="B123" s="3">
        <f>IF(A123="","",TEXT(A123,"ddd"))</f>
        <v/>
      </c>
    </row>
    <row r="124">
      <c r="A124" s="2" t="n"/>
      <c r="B124" s="3">
        <f>IF(A124="","",TEXT(A124,"ddd"))</f>
        <v/>
      </c>
    </row>
    <row r="125">
      <c r="A125" s="2" t="n"/>
      <c r="B125" s="3">
        <f>IF(A125="","",TEXT(A125,"ddd"))</f>
        <v/>
      </c>
    </row>
    <row r="126">
      <c r="A126" s="2" t="n"/>
      <c r="B126" s="3">
        <f>IF(A126="","",TEXT(A126,"ddd"))</f>
        <v/>
      </c>
    </row>
    <row r="127">
      <c r="A127" s="2" t="n"/>
      <c r="B127" s="3">
        <f>IF(A127="","",TEXT(A127,"ddd"))</f>
        <v/>
      </c>
    </row>
    <row r="128">
      <c r="A128" s="2" t="n"/>
      <c r="B128" s="3">
        <f>IF(A128="","",TEXT(A128,"ddd"))</f>
        <v/>
      </c>
    </row>
    <row r="129">
      <c r="A129" s="2" t="n"/>
      <c r="B129" s="3">
        <f>IF(A129="","",TEXT(A129,"ddd"))</f>
        <v/>
      </c>
    </row>
    <row r="130">
      <c r="A130" s="2" t="n"/>
      <c r="B130" s="3">
        <f>IF(A130="","",TEXT(A130,"ddd"))</f>
        <v/>
      </c>
    </row>
    <row r="131">
      <c r="A131" s="2" t="n"/>
      <c r="B131" s="3">
        <f>IF(A131="","",TEXT(A131,"ddd"))</f>
        <v/>
      </c>
    </row>
    <row r="132">
      <c r="A132" s="2" t="n"/>
      <c r="B132" s="3">
        <f>IF(A132="","",TEXT(A132,"ddd"))</f>
        <v/>
      </c>
    </row>
    <row r="133">
      <c r="A133" s="2" t="n"/>
      <c r="B133" s="3">
        <f>IF(A133="","",TEXT(A133,"ddd"))</f>
        <v/>
      </c>
    </row>
    <row r="134">
      <c r="A134" s="2" t="n"/>
      <c r="B134" s="3">
        <f>IF(A134="","",TEXT(A134,"ddd"))</f>
        <v/>
      </c>
    </row>
    <row r="135">
      <c r="A135" s="2" t="n"/>
      <c r="B135" s="3">
        <f>IF(A135="","",TEXT(A135,"ddd"))</f>
        <v/>
      </c>
    </row>
    <row r="136">
      <c r="A136" s="2" t="n"/>
      <c r="B136" s="3">
        <f>IF(A136="","",TEXT(A136,"ddd"))</f>
        <v/>
      </c>
    </row>
    <row r="137">
      <c r="A137" s="2" t="n"/>
      <c r="B137" s="3">
        <f>IF(A137="","",TEXT(A137,"ddd"))</f>
        <v/>
      </c>
    </row>
    <row r="138">
      <c r="A138" s="2" t="n"/>
      <c r="B138" s="3">
        <f>IF(A138="","",TEXT(A138,"ddd"))</f>
        <v/>
      </c>
    </row>
    <row r="139">
      <c r="A139" s="2" t="n"/>
      <c r="B139" s="3">
        <f>IF(A139="","",TEXT(A139,"ddd"))</f>
        <v/>
      </c>
    </row>
    <row r="140">
      <c r="A140" s="2" t="n"/>
      <c r="B140" s="3">
        <f>IF(A140="","",TEXT(A140,"ddd"))</f>
        <v/>
      </c>
    </row>
    <row r="141">
      <c r="A141" s="2" t="n"/>
      <c r="B141" s="3">
        <f>IF(A141="","",TEXT(A141,"ddd"))</f>
        <v/>
      </c>
    </row>
    <row r="142">
      <c r="A142" s="2" t="n"/>
      <c r="B142" s="3">
        <f>IF(A142="","",TEXT(A142,"ddd"))</f>
        <v/>
      </c>
    </row>
    <row r="143">
      <c r="A143" s="2" t="n"/>
      <c r="B143" s="3">
        <f>IF(A143="","",TEXT(A143,"ddd"))</f>
        <v/>
      </c>
    </row>
    <row r="144">
      <c r="A144" s="2" t="n"/>
      <c r="B144" s="3">
        <f>IF(A144="","",TEXT(A144,"ddd"))</f>
        <v/>
      </c>
    </row>
    <row r="145">
      <c r="A145" s="2" t="n"/>
      <c r="B145" s="3">
        <f>IF(A145="","",TEXT(A145,"ddd"))</f>
        <v/>
      </c>
    </row>
    <row r="146">
      <c r="A146" s="2" t="n"/>
      <c r="B146" s="3">
        <f>IF(A146="","",TEXT(A146,"ddd"))</f>
        <v/>
      </c>
    </row>
    <row r="147">
      <c r="A147" s="2" t="n"/>
      <c r="B147" s="3">
        <f>IF(A147="","",TEXT(A147,"ddd"))</f>
        <v/>
      </c>
    </row>
    <row r="148">
      <c r="A148" s="2" t="n"/>
      <c r="B148" s="3">
        <f>IF(A148="","",TEXT(A148,"ddd"))</f>
        <v/>
      </c>
    </row>
    <row r="149">
      <c r="A149" s="2" t="n"/>
      <c r="B149" s="3">
        <f>IF(A149="","",TEXT(A149,"ddd"))</f>
        <v/>
      </c>
    </row>
    <row r="150">
      <c r="A150" s="2" t="n"/>
      <c r="B150" s="3">
        <f>IF(A150="","",TEXT(A150,"ddd"))</f>
        <v/>
      </c>
    </row>
    <row r="151">
      <c r="A151" s="2" t="n"/>
      <c r="B151" s="3">
        <f>IF(A151="","",TEXT(A151,"ddd"))</f>
        <v/>
      </c>
    </row>
    <row r="152">
      <c r="A152" s="2" t="n"/>
      <c r="B152" s="3">
        <f>IF(A152="","",TEXT(A152,"ddd"))</f>
        <v/>
      </c>
    </row>
    <row r="153">
      <c r="A153" s="2" t="n"/>
      <c r="B153" s="3">
        <f>IF(A153="","",TEXT(A153,"ddd"))</f>
        <v/>
      </c>
    </row>
    <row r="154">
      <c r="A154" s="2" t="n"/>
      <c r="B154" s="3">
        <f>IF(A154="","",TEXT(A154,"ddd"))</f>
        <v/>
      </c>
    </row>
    <row r="155">
      <c r="A155" s="2" t="n"/>
      <c r="B155" s="3">
        <f>IF(A155="","",TEXT(A155,"ddd"))</f>
        <v/>
      </c>
    </row>
    <row r="156">
      <c r="A156" s="2" t="n"/>
      <c r="B156" s="3">
        <f>IF(A156="","",TEXT(A156,"ddd"))</f>
        <v/>
      </c>
    </row>
    <row r="157">
      <c r="A157" s="2" t="n"/>
      <c r="B157" s="3">
        <f>IF(A157="","",TEXT(A157,"ddd"))</f>
        <v/>
      </c>
    </row>
    <row r="158">
      <c r="A158" s="2" t="n"/>
      <c r="B158" s="3">
        <f>IF(A158="","",TEXT(A158,"ddd"))</f>
        <v/>
      </c>
    </row>
    <row r="159">
      <c r="A159" s="2" t="n"/>
      <c r="B159" s="3">
        <f>IF(A159="","",TEXT(A159,"ddd"))</f>
        <v/>
      </c>
    </row>
    <row r="160">
      <c r="A160" s="2" t="n"/>
      <c r="B160" s="3">
        <f>IF(A160="","",TEXT(A160,"ddd"))</f>
        <v/>
      </c>
    </row>
    <row r="161">
      <c r="A161" s="2" t="n"/>
      <c r="B161" s="3">
        <f>IF(A161="","",TEXT(A161,"ddd"))</f>
        <v/>
      </c>
    </row>
    <row r="162">
      <c r="A162" s="2" t="n"/>
      <c r="B162" s="3">
        <f>IF(A162="","",TEXT(A162,"ddd"))</f>
        <v/>
      </c>
    </row>
    <row r="163">
      <c r="A163" s="2" t="n"/>
      <c r="B163" s="3">
        <f>IF(A163="","",TEXT(A163,"ddd"))</f>
        <v/>
      </c>
    </row>
    <row r="164">
      <c r="A164" s="2" t="n"/>
      <c r="B164" s="3">
        <f>IF(A164="","",TEXT(A164,"ddd"))</f>
        <v/>
      </c>
    </row>
    <row r="165">
      <c r="A165" s="2" t="n"/>
      <c r="B165" s="3">
        <f>IF(A165="","",TEXT(A165,"ddd"))</f>
        <v/>
      </c>
    </row>
    <row r="166">
      <c r="A166" s="2" t="n"/>
      <c r="B166" s="3">
        <f>IF(A166="","",TEXT(A166,"ddd"))</f>
        <v/>
      </c>
    </row>
    <row r="167">
      <c r="A167" s="2" t="n"/>
      <c r="B167" s="3">
        <f>IF(A167="","",TEXT(A167,"ddd"))</f>
        <v/>
      </c>
    </row>
    <row r="168">
      <c r="A168" s="2" t="n"/>
      <c r="B168" s="3">
        <f>IF(A168="","",TEXT(A168,"ddd"))</f>
        <v/>
      </c>
    </row>
    <row r="169">
      <c r="A169" s="2" t="n"/>
      <c r="B169" s="3">
        <f>IF(A169="","",TEXT(A169,"ddd"))</f>
        <v/>
      </c>
    </row>
    <row r="170">
      <c r="A170" s="2" t="n"/>
      <c r="B170" s="3">
        <f>IF(A170="","",TEXT(A170,"ddd"))</f>
        <v/>
      </c>
    </row>
    <row r="171">
      <c r="A171" s="2" t="n"/>
      <c r="B171" s="3">
        <f>IF(A171="","",TEXT(A171,"ddd"))</f>
        <v/>
      </c>
    </row>
    <row r="172">
      <c r="A172" s="2" t="n"/>
      <c r="B172" s="3">
        <f>IF(A172="","",TEXT(A172,"ddd"))</f>
        <v/>
      </c>
    </row>
    <row r="173">
      <c r="A173" s="2" t="n"/>
      <c r="B173" s="3">
        <f>IF(A173="","",TEXT(A173,"ddd"))</f>
        <v/>
      </c>
    </row>
    <row r="174">
      <c r="A174" s="2" t="n"/>
      <c r="B174" s="3">
        <f>IF(A174="","",TEXT(A174,"ddd"))</f>
        <v/>
      </c>
    </row>
    <row r="175">
      <c r="A175" s="2" t="n"/>
      <c r="B175" s="3">
        <f>IF(A175="","",TEXT(A175,"ddd"))</f>
        <v/>
      </c>
    </row>
    <row r="176">
      <c r="A176" s="2" t="n"/>
      <c r="B176" s="3">
        <f>IF(A176="","",TEXT(A176,"ddd"))</f>
        <v/>
      </c>
    </row>
    <row r="177">
      <c r="A177" s="2" t="n"/>
      <c r="B177" s="3">
        <f>IF(A177="","",TEXT(A177,"ddd"))</f>
        <v/>
      </c>
    </row>
    <row r="178">
      <c r="A178" s="2" t="n"/>
      <c r="B178" s="3">
        <f>IF(A178="","",TEXT(A178,"ddd"))</f>
        <v/>
      </c>
    </row>
    <row r="179">
      <c r="A179" s="2" t="n"/>
      <c r="B179" s="3">
        <f>IF(A179="","",TEXT(A179,"ddd"))</f>
        <v/>
      </c>
    </row>
    <row r="180">
      <c r="A180" s="2" t="n"/>
      <c r="B180" s="3">
        <f>IF(A180="","",TEXT(A180,"ddd"))</f>
        <v/>
      </c>
    </row>
    <row r="181">
      <c r="A181" s="2" t="n"/>
      <c r="B181" s="3">
        <f>IF(A181="","",TEXT(A181,"ddd"))</f>
        <v/>
      </c>
    </row>
    <row r="182">
      <c r="A182" s="2" t="n"/>
      <c r="B182" s="3">
        <f>IF(A182="","",TEXT(A182,"ddd"))</f>
        <v/>
      </c>
    </row>
    <row r="183">
      <c r="A183" s="2" t="n"/>
      <c r="B183" s="3">
        <f>IF(A183="","",TEXT(A183,"ddd"))</f>
        <v/>
      </c>
    </row>
    <row r="184">
      <c r="A184" s="2" t="n"/>
      <c r="B184" s="3">
        <f>IF(A184="","",TEXT(A184,"ddd"))</f>
        <v/>
      </c>
    </row>
    <row r="185">
      <c r="A185" s="2" t="n"/>
      <c r="B185" s="3">
        <f>IF(A185="","",TEXT(A185,"ddd"))</f>
        <v/>
      </c>
    </row>
    <row r="186">
      <c r="A186" s="2" t="n"/>
      <c r="B186" s="3">
        <f>IF(A186="","",TEXT(A186,"ddd"))</f>
        <v/>
      </c>
    </row>
    <row r="187">
      <c r="A187" s="2" t="n"/>
      <c r="B187" s="3">
        <f>IF(A187="","",TEXT(A187,"ddd"))</f>
        <v/>
      </c>
    </row>
    <row r="188">
      <c r="A188" s="2" t="n"/>
      <c r="B188" s="3">
        <f>IF(A188="","",TEXT(A188,"ddd"))</f>
        <v/>
      </c>
    </row>
    <row r="189">
      <c r="A189" s="2" t="n"/>
      <c r="B189" s="3">
        <f>IF(A189="","",TEXT(A189,"ddd"))</f>
        <v/>
      </c>
    </row>
    <row r="190">
      <c r="A190" s="2" t="n"/>
      <c r="B190" s="3">
        <f>IF(A190="","",TEXT(A190,"ddd"))</f>
        <v/>
      </c>
    </row>
    <row r="191">
      <c r="A191" s="2" t="n"/>
      <c r="B191" s="3">
        <f>IF(A191="","",TEXT(A191,"ddd"))</f>
        <v/>
      </c>
    </row>
    <row r="192">
      <c r="A192" s="2" t="n"/>
      <c r="B192" s="3">
        <f>IF(A192="","",TEXT(A192,"ddd"))</f>
        <v/>
      </c>
    </row>
    <row r="193">
      <c r="A193" s="2" t="n"/>
      <c r="B193" s="3">
        <f>IF(A193="","",TEXT(A193,"ddd"))</f>
        <v/>
      </c>
    </row>
    <row r="194">
      <c r="A194" s="2" t="n"/>
      <c r="B194" s="3">
        <f>IF(A194="","",TEXT(A194,"ddd"))</f>
        <v/>
      </c>
    </row>
    <row r="195">
      <c r="A195" s="2" t="n"/>
      <c r="B195" s="3">
        <f>IF(A195="","",TEXT(A195,"ddd"))</f>
        <v/>
      </c>
    </row>
    <row r="196">
      <c r="A196" s="2" t="n"/>
      <c r="B196" s="3">
        <f>IF(A196="","",TEXT(A196,"ddd"))</f>
        <v/>
      </c>
    </row>
    <row r="197">
      <c r="A197" s="2" t="n"/>
      <c r="B197" s="3">
        <f>IF(A197="","",TEXT(A197,"ddd"))</f>
        <v/>
      </c>
    </row>
    <row r="198">
      <c r="A198" s="2" t="n"/>
      <c r="B198" s="3">
        <f>IF(A198="","",TEXT(A198,"ddd"))</f>
        <v/>
      </c>
    </row>
    <row r="199">
      <c r="A199" s="2" t="n"/>
      <c r="B199" s="3">
        <f>IF(A199="","",TEXT(A199,"ddd"))</f>
        <v/>
      </c>
    </row>
    <row r="200">
      <c r="A200" s="2" t="n"/>
      <c r="B200" s="3">
        <f>IF(A200="","",TEXT(A200,"ddd"))</f>
        <v/>
      </c>
    </row>
    <row r="201">
      <c r="A201" s="2" t="n"/>
      <c r="B201" s="3">
        <f>IF(A201="","",TEXT(A201,"ddd"))</f>
        <v/>
      </c>
    </row>
    <row r="202">
      <c r="A202" s="2" t="n"/>
      <c r="B202" s="3">
        <f>IF(A202="","",TEXT(A202,"ddd"))</f>
        <v/>
      </c>
    </row>
    <row r="203">
      <c r="A203" s="2" t="n"/>
      <c r="B203" s="3">
        <f>IF(A203="","",TEXT(A203,"ddd"))</f>
        <v/>
      </c>
    </row>
    <row r="204">
      <c r="A204" s="2" t="n"/>
      <c r="B204" s="3">
        <f>IF(A204="","",TEXT(A204,"ddd"))</f>
        <v/>
      </c>
    </row>
    <row r="205">
      <c r="A205" s="2" t="n"/>
      <c r="B205" s="3">
        <f>IF(A205="","",TEXT(A205,"ddd"))</f>
        <v/>
      </c>
    </row>
    <row r="206">
      <c r="A206" s="2" t="n"/>
      <c r="B206" s="3">
        <f>IF(A206="","",TEXT(A206,"ddd"))</f>
        <v/>
      </c>
    </row>
    <row r="207">
      <c r="A207" s="2" t="n"/>
      <c r="B207" s="3">
        <f>IF(A207="","",TEXT(A207,"ddd"))</f>
        <v/>
      </c>
    </row>
    <row r="208">
      <c r="A208" s="2" t="n"/>
      <c r="B208" s="3">
        <f>IF(A208="","",TEXT(A208,"ddd"))</f>
        <v/>
      </c>
    </row>
    <row r="209">
      <c r="A209" s="2" t="n"/>
      <c r="B209" s="3">
        <f>IF(A209="","",TEXT(A209,"ddd"))</f>
        <v/>
      </c>
    </row>
    <row r="210">
      <c r="A210" s="2" t="n"/>
      <c r="B210" s="3">
        <f>IF(A210="","",TEXT(A210,"ddd"))</f>
        <v/>
      </c>
    </row>
    <row r="211">
      <c r="A211" s="2" t="n"/>
      <c r="B211" s="3">
        <f>IF(A211="","",TEXT(A211,"ddd"))</f>
        <v/>
      </c>
    </row>
    <row r="212">
      <c r="A212" s="2" t="n"/>
      <c r="B212" s="3">
        <f>IF(A212="","",TEXT(A212,"ddd"))</f>
        <v/>
      </c>
    </row>
    <row r="213">
      <c r="A213" s="2" t="n"/>
      <c r="B213" s="3">
        <f>IF(A213="","",TEXT(A213,"ddd"))</f>
        <v/>
      </c>
    </row>
    <row r="214">
      <c r="A214" s="2" t="n"/>
      <c r="B214" s="3">
        <f>IF(A214="","",TEXT(A214,"ddd"))</f>
        <v/>
      </c>
    </row>
    <row r="215">
      <c r="A215" s="2" t="n"/>
      <c r="B215" s="3">
        <f>IF(A215="","",TEXT(A215,"ddd"))</f>
        <v/>
      </c>
    </row>
    <row r="216">
      <c r="A216" s="2" t="n"/>
      <c r="B216" s="3">
        <f>IF(A216="","",TEXT(A216,"ddd"))</f>
        <v/>
      </c>
    </row>
    <row r="217">
      <c r="A217" s="2" t="n"/>
      <c r="B217" s="3">
        <f>IF(A217="","",TEXT(A217,"ddd"))</f>
        <v/>
      </c>
    </row>
    <row r="218">
      <c r="A218" s="2" t="n"/>
      <c r="B218" s="3">
        <f>IF(A218="","",TEXT(A218,"ddd"))</f>
        <v/>
      </c>
    </row>
    <row r="219">
      <c r="A219" s="2" t="n"/>
      <c r="B219" s="3">
        <f>IF(A219="","",TEXT(A219,"ddd"))</f>
        <v/>
      </c>
    </row>
    <row r="220">
      <c r="A220" s="2" t="n"/>
      <c r="B220" s="3">
        <f>IF(A220="","",TEXT(A220,"ddd"))</f>
        <v/>
      </c>
    </row>
    <row r="221">
      <c r="A221" s="2" t="n"/>
      <c r="B221" s="3">
        <f>IF(A221="","",TEXT(A221,"ddd"))</f>
        <v/>
      </c>
    </row>
    <row r="222">
      <c r="A222" s="2" t="n"/>
      <c r="B222" s="3">
        <f>IF(A222="","",TEXT(A222,"ddd"))</f>
        <v/>
      </c>
    </row>
    <row r="223">
      <c r="A223" s="2" t="n"/>
      <c r="B223" s="3">
        <f>IF(A223="","",TEXT(A223,"ddd"))</f>
        <v/>
      </c>
    </row>
    <row r="224">
      <c r="A224" s="2" t="n"/>
      <c r="B224" s="3">
        <f>IF(A224="","",TEXT(A224,"ddd"))</f>
        <v/>
      </c>
    </row>
    <row r="225">
      <c r="A225" s="2" t="n"/>
      <c r="B225" s="3">
        <f>IF(A225="","",TEXT(A225,"ddd"))</f>
        <v/>
      </c>
    </row>
    <row r="226">
      <c r="A226" s="2" t="n"/>
      <c r="B226" s="3">
        <f>IF(A226="","",TEXT(A226,"ddd"))</f>
        <v/>
      </c>
    </row>
    <row r="227">
      <c r="A227" s="2" t="n"/>
      <c r="B227" s="3">
        <f>IF(A227="","",TEXT(A227,"ddd"))</f>
        <v/>
      </c>
    </row>
    <row r="228">
      <c r="A228" s="2" t="n"/>
      <c r="B228" s="3">
        <f>IF(A228="","",TEXT(A228,"ddd"))</f>
        <v/>
      </c>
    </row>
    <row r="229">
      <c r="A229" s="2" t="n"/>
      <c r="B229" s="3">
        <f>IF(A229="","",TEXT(A229,"ddd"))</f>
        <v/>
      </c>
    </row>
    <row r="230">
      <c r="A230" s="2" t="n"/>
      <c r="B230" s="3">
        <f>IF(A230="","",TEXT(A230,"ddd"))</f>
        <v/>
      </c>
    </row>
    <row r="231">
      <c r="A231" s="2" t="n"/>
      <c r="B231" s="3">
        <f>IF(A231="","",TEXT(A231,"ddd"))</f>
        <v/>
      </c>
    </row>
    <row r="232">
      <c r="A232" s="2" t="n"/>
      <c r="B232" s="3">
        <f>IF(A232="","",TEXT(A232,"ddd"))</f>
        <v/>
      </c>
    </row>
    <row r="233">
      <c r="A233" s="2" t="n"/>
      <c r="B233" s="3">
        <f>IF(A233="","",TEXT(A233,"ddd"))</f>
        <v/>
      </c>
    </row>
    <row r="234">
      <c r="A234" s="2" t="n"/>
      <c r="B234" s="3">
        <f>IF(A234="","",TEXT(A234,"ddd"))</f>
        <v/>
      </c>
    </row>
    <row r="235">
      <c r="A235" s="2" t="n"/>
      <c r="B235" s="3">
        <f>IF(A235="","",TEXT(A235,"ddd"))</f>
        <v/>
      </c>
    </row>
    <row r="236">
      <c r="A236" s="2" t="n"/>
      <c r="B236" s="3">
        <f>IF(A236="","",TEXT(A236,"ddd"))</f>
        <v/>
      </c>
    </row>
    <row r="237">
      <c r="A237" s="2" t="n"/>
      <c r="B237" s="3">
        <f>IF(A237="","",TEXT(A237,"ddd"))</f>
        <v/>
      </c>
    </row>
    <row r="238">
      <c r="A238" s="2" t="n"/>
      <c r="B238" s="3">
        <f>IF(A238="","",TEXT(A238,"ddd"))</f>
        <v/>
      </c>
    </row>
    <row r="239">
      <c r="A239" s="2" t="n"/>
      <c r="B239" s="3">
        <f>IF(A239="","",TEXT(A239,"ddd"))</f>
        <v/>
      </c>
    </row>
    <row r="240">
      <c r="A240" s="2" t="n"/>
      <c r="B240" s="3">
        <f>IF(A240="","",TEXT(A240,"ddd"))</f>
        <v/>
      </c>
    </row>
    <row r="241">
      <c r="A241" s="2" t="n"/>
      <c r="B241" s="3">
        <f>IF(A241="","",TEXT(A241,"ddd"))</f>
        <v/>
      </c>
    </row>
    <row r="242">
      <c r="A242" s="2" t="n"/>
      <c r="B242" s="3">
        <f>IF(A242="","",TEXT(A242,"ddd"))</f>
        <v/>
      </c>
    </row>
    <row r="243">
      <c r="A243" s="2" t="n"/>
      <c r="B243" s="3">
        <f>IF(A243="","",TEXT(A243,"ddd"))</f>
        <v/>
      </c>
    </row>
    <row r="244">
      <c r="A244" s="2" t="n"/>
      <c r="B244" s="3">
        <f>IF(A244="","",TEXT(A244,"ddd"))</f>
        <v/>
      </c>
    </row>
    <row r="245">
      <c r="A245" s="2" t="n"/>
      <c r="B245" s="3">
        <f>IF(A245="","",TEXT(A245,"ddd"))</f>
        <v/>
      </c>
    </row>
    <row r="246">
      <c r="A246" s="2" t="n"/>
      <c r="B246" s="3">
        <f>IF(A246="","",TEXT(A246,"ddd"))</f>
        <v/>
      </c>
    </row>
    <row r="247">
      <c r="A247" s="2" t="n"/>
      <c r="B247" s="3">
        <f>IF(A247="","",TEXT(A247,"ddd"))</f>
        <v/>
      </c>
    </row>
    <row r="248">
      <c r="A248" s="2" t="n"/>
      <c r="B248" s="3">
        <f>IF(A248="","",TEXT(A248,"ddd"))</f>
        <v/>
      </c>
    </row>
    <row r="249">
      <c r="A249" s="2" t="n"/>
      <c r="B249" s="3">
        <f>IF(A249="","",TEXT(A249,"ddd"))</f>
        <v/>
      </c>
    </row>
    <row r="250">
      <c r="A250" s="2" t="n"/>
      <c r="B250" s="3">
        <f>IF(A250="","",TEXT(A250,"ddd"))</f>
        <v/>
      </c>
    </row>
    <row r="251">
      <c r="A251" s="2" t="n"/>
      <c r="B251" s="3">
        <f>IF(A251="","",TEXT(A251,"ddd"))</f>
        <v/>
      </c>
    </row>
    <row r="252">
      <c r="A252" s="2" t="n"/>
      <c r="B252" s="3">
        <f>IF(A252="","",TEXT(A252,"ddd"))</f>
        <v/>
      </c>
    </row>
    <row r="253">
      <c r="A253" s="2" t="n"/>
      <c r="B253" s="3">
        <f>IF(A253="","",TEXT(A253,"ddd"))</f>
        <v/>
      </c>
    </row>
    <row r="254">
      <c r="A254" s="2" t="n"/>
      <c r="B254" s="3">
        <f>IF(A254="","",TEXT(A254,"ddd"))</f>
        <v/>
      </c>
    </row>
    <row r="255">
      <c r="A255" s="2" t="n"/>
      <c r="B255" s="3">
        <f>IF(A255="","",TEXT(A255,"ddd"))</f>
        <v/>
      </c>
    </row>
    <row r="256">
      <c r="A256" s="2" t="n"/>
      <c r="B256" s="3">
        <f>IF(A256="","",TEXT(A256,"ddd"))</f>
        <v/>
      </c>
    </row>
    <row r="257">
      <c r="A257" s="2" t="n"/>
      <c r="B257" s="3">
        <f>IF(A257="","",TEXT(A257,"ddd"))</f>
        <v/>
      </c>
    </row>
    <row r="258">
      <c r="A258" s="2" t="n"/>
      <c r="B258" s="3">
        <f>IF(A258="","",TEXT(A258,"ddd"))</f>
        <v/>
      </c>
    </row>
    <row r="259">
      <c r="A259" s="2" t="n"/>
      <c r="B259" s="3">
        <f>IF(A259="","",TEXT(A259,"ddd"))</f>
        <v/>
      </c>
    </row>
    <row r="260">
      <c r="A260" s="2" t="n"/>
      <c r="B260" s="3">
        <f>IF(A260="","",TEXT(A260,"ddd"))</f>
        <v/>
      </c>
    </row>
    <row r="261">
      <c r="A261" s="2" t="n"/>
      <c r="B261" s="3">
        <f>IF(A261="","",TEXT(A261,"ddd"))</f>
        <v/>
      </c>
    </row>
    <row r="262">
      <c r="A262" s="2" t="n"/>
      <c r="B262" s="3">
        <f>IF(A262="","",TEXT(A262,"ddd"))</f>
        <v/>
      </c>
    </row>
    <row r="263">
      <c r="A263" s="2" t="n"/>
      <c r="B263" s="3">
        <f>IF(A263="","",TEXT(A263,"ddd"))</f>
        <v/>
      </c>
    </row>
    <row r="264">
      <c r="A264" s="2" t="n"/>
      <c r="B264" s="3">
        <f>IF(A264="","",TEXT(A264,"ddd"))</f>
        <v/>
      </c>
    </row>
    <row r="265">
      <c r="A265" s="2" t="n"/>
      <c r="B265" s="3">
        <f>IF(A265="","",TEXT(A265,"ddd"))</f>
        <v/>
      </c>
    </row>
    <row r="266">
      <c r="A266" s="2" t="n"/>
      <c r="B266" s="3">
        <f>IF(A266="","",TEXT(A266,"ddd"))</f>
        <v/>
      </c>
    </row>
    <row r="267">
      <c r="A267" s="2" t="n"/>
      <c r="B267" s="3">
        <f>IF(A267="","",TEXT(A267,"ddd"))</f>
        <v/>
      </c>
    </row>
    <row r="268">
      <c r="A268" s="2" t="n"/>
      <c r="B268" s="3">
        <f>IF(A268="","",TEXT(A268,"ddd"))</f>
        <v/>
      </c>
    </row>
    <row r="269">
      <c r="A269" s="2" t="n"/>
      <c r="B269" s="3">
        <f>IF(A269="","",TEXT(A269,"ddd"))</f>
        <v/>
      </c>
    </row>
    <row r="270">
      <c r="A270" s="2" t="n"/>
      <c r="B270" s="3">
        <f>IF(A270="","",TEXT(A270,"ddd"))</f>
        <v/>
      </c>
    </row>
    <row r="271">
      <c r="A271" s="2" t="n"/>
      <c r="B271" s="3">
        <f>IF(A271="","",TEXT(A271,"ddd"))</f>
        <v/>
      </c>
    </row>
    <row r="272">
      <c r="A272" s="2" t="n"/>
      <c r="B272" s="3">
        <f>IF(A272="","",TEXT(A272,"ddd"))</f>
        <v/>
      </c>
    </row>
    <row r="273">
      <c r="A273" s="2" t="n"/>
      <c r="B273" s="3">
        <f>IF(A273="","",TEXT(A273,"ddd"))</f>
        <v/>
      </c>
    </row>
    <row r="274">
      <c r="A274" s="2" t="n"/>
      <c r="B274" s="3">
        <f>IF(A274="","",TEXT(A274,"ddd"))</f>
        <v/>
      </c>
    </row>
    <row r="275">
      <c r="A275" s="2" t="n"/>
      <c r="B275" s="3">
        <f>IF(A275="","",TEXT(A275,"ddd"))</f>
        <v/>
      </c>
    </row>
    <row r="276">
      <c r="A276" s="2" t="n"/>
      <c r="B276" s="3">
        <f>IF(A276="","",TEXT(A276,"ddd"))</f>
        <v/>
      </c>
    </row>
    <row r="277">
      <c r="A277" s="2" t="n"/>
      <c r="B277" s="3">
        <f>IF(A277="","",TEXT(A277,"ddd"))</f>
        <v/>
      </c>
    </row>
    <row r="278">
      <c r="A278" s="2" t="n"/>
      <c r="B278" s="3">
        <f>IF(A278="","",TEXT(A278,"ddd"))</f>
        <v/>
      </c>
    </row>
    <row r="279">
      <c r="A279" s="2" t="n"/>
      <c r="B279" s="3">
        <f>IF(A279="","",TEXT(A279,"ddd"))</f>
        <v/>
      </c>
    </row>
    <row r="280">
      <c r="A280" s="2" t="n"/>
      <c r="B280" s="3">
        <f>IF(A280="","",TEXT(A280,"ddd"))</f>
        <v/>
      </c>
    </row>
    <row r="281">
      <c r="A281" s="2" t="n"/>
      <c r="B281" s="3">
        <f>IF(A281="","",TEXT(A281,"ddd"))</f>
        <v/>
      </c>
    </row>
    <row r="282">
      <c r="A282" s="2" t="n"/>
      <c r="B282" s="3">
        <f>IF(A282="","",TEXT(A282,"ddd"))</f>
        <v/>
      </c>
    </row>
    <row r="283">
      <c r="A283" s="2" t="n"/>
      <c r="B283" s="3">
        <f>IF(A283="","",TEXT(A283,"ddd"))</f>
        <v/>
      </c>
    </row>
    <row r="284">
      <c r="A284" s="2" t="n"/>
      <c r="B284" s="3">
        <f>IF(A284="","",TEXT(A284,"ddd"))</f>
        <v/>
      </c>
    </row>
    <row r="285">
      <c r="A285" s="2" t="n"/>
      <c r="B285" s="3">
        <f>IF(A285="","",TEXT(A285,"ddd"))</f>
        <v/>
      </c>
    </row>
    <row r="286">
      <c r="A286" s="2" t="n"/>
      <c r="B286" s="3">
        <f>IF(A286="","",TEXT(A286,"ddd"))</f>
        <v/>
      </c>
    </row>
    <row r="287">
      <c r="A287" s="2" t="n"/>
      <c r="B287" s="3">
        <f>IF(A287="","",TEXT(A287,"ddd"))</f>
        <v/>
      </c>
    </row>
    <row r="288">
      <c r="A288" s="2" t="n"/>
      <c r="B288" s="3">
        <f>IF(A288="","",TEXT(A288,"ddd"))</f>
        <v/>
      </c>
    </row>
    <row r="289">
      <c r="A289" s="2" t="n"/>
      <c r="B289" s="3">
        <f>IF(A289="","",TEXT(A289,"ddd"))</f>
        <v/>
      </c>
    </row>
    <row r="290">
      <c r="A290" s="2" t="n"/>
      <c r="B290" s="3">
        <f>IF(A290="","",TEXT(A290,"ddd"))</f>
        <v/>
      </c>
    </row>
    <row r="291">
      <c r="A291" s="2" t="n"/>
      <c r="B291" s="3">
        <f>IF(A291="","",TEXT(A291,"ddd"))</f>
        <v/>
      </c>
    </row>
    <row r="292">
      <c r="A292" s="2" t="n"/>
      <c r="B292" s="3">
        <f>IF(A292="","",TEXT(A292,"ddd"))</f>
        <v/>
      </c>
    </row>
    <row r="293">
      <c r="A293" s="2" t="n"/>
      <c r="B293" s="3">
        <f>IF(A293="","",TEXT(A293,"ddd"))</f>
        <v/>
      </c>
    </row>
    <row r="294">
      <c r="A294" s="2" t="n"/>
      <c r="B294" s="3">
        <f>IF(A294="","",TEXT(A294,"ddd"))</f>
        <v/>
      </c>
    </row>
    <row r="295">
      <c r="A295" s="2" t="n"/>
      <c r="B295" s="3">
        <f>IF(A295="","",TEXT(A295,"ddd"))</f>
        <v/>
      </c>
    </row>
    <row r="296">
      <c r="A296" s="2" t="n"/>
      <c r="B296" s="3">
        <f>IF(A296="","",TEXT(A296,"ddd"))</f>
        <v/>
      </c>
    </row>
    <row r="297">
      <c r="A297" s="2" t="n"/>
      <c r="B297" s="3">
        <f>IF(A297="","",TEXT(A297,"ddd"))</f>
        <v/>
      </c>
    </row>
    <row r="298">
      <c r="A298" s="2" t="n"/>
      <c r="B298" s="3">
        <f>IF(A298="","",TEXT(A298,"ddd"))</f>
        <v/>
      </c>
    </row>
    <row r="299">
      <c r="A299" s="2" t="n"/>
      <c r="B299" s="3">
        <f>IF(A299="","",TEXT(A299,"ddd"))</f>
        <v/>
      </c>
    </row>
    <row r="300">
      <c r="A300" s="2" t="n"/>
      <c r="B300" s="3">
        <f>IF(A300="","",TEXT(A300,"ddd"))</f>
        <v/>
      </c>
    </row>
  </sheetData>
  <autoFilter ref="A1:D300"/>
  <dataValidations count="1">
    <dataValidation sqref="C2:C300" showDropDown="0" showInputMessage="0" showErrorMessage="0" allowBlank="1" errorTitle="New dish?" error="Dish not in master list. Add it to the Dish rotation tab to start tracking it." type="list" errorStyle="warning">
      <formula1>='Dish rotation'!$A$2:$A$62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32" customWidth="1" min="8" max="8"/>
  </cols>
  <sheetData>
    <row r="1" ht="22" customHeight="1">
      <c r="A1" s="1" t="inlineStr">
        <is>
          <t>Dish</t>
        </is>
      </c>
      <c r="B1" s="1" t="inlineStr">
        <is>
          <t>Category</t>
        </is>
      </c>
      <c r="C1" s="1" t="inlineStr">
        <is>
          <t>Last cooked</t>
        </is>
      </c>
      <c r="D1" s="1" t="inlineStr">
        <is>
          <t>Days since</t>
        </is>
      </c>
      <c r="E1" s="1" t="inlineStr">
        <is>
          <t>Cook count</t>
        </is>
      </c>
      <c r="F1" s="1" t="inlineStr">
        <is>
          <t>Cool-down (days)</t>
        </is>
      </c>
      <c r="G1" s="1" t="inlineStr">
        <is>
          <t>Status</t>
        </is>
      </c>
      <c r="H1" s="1" t="inlineStr">
        <is>
          <t>Notes</t>
        </is>
      </c>
    </row>
    <row r="2">
      <c r="A2" s="4" t="inlineStr">
        <is>
          <t>Taiwanese pork chop</t>
        </is>
      </c>
      <c r="B2" s="4" t="inlineStr">
        <is>
          <t>Pork</t>
        </is>
      </c>
      <c r="C2" s="5">
        <f>IFERROR(IF(MAXIFS('Cook log'!A2:A1000,'Cook log'!C2:C1000,A2)=0,"",MAXIFS('Cook log'!A2:A1000,'Cook log'!C2:C1000,A2)),"")</f>
        <v/>
      </c>
      <c r="D2" s="4">
        <f>IF(C2="","",TODAY()-C2)</f>
        <v/>
      </c>
      <c r="E2" s="4">
        <f>COUNTIF('Cook log'!C2:C1000,A2)</f>
        <v/>
      </c>
      <c r="F2" s="6" t="n">
        <v>21</v>
      </c>
      <c r="G2" s="6">
        <f>IF(C2="","Never cooked",IF(D2&lt;F2,"Cooldown","Due"))</f>
        <v/>
      </c>
      <c r="H2" s="4" t="inlineStr"/>
    </row>
    <row r="3">
      <c r="A3" s="4" t="inlineStr">
        <is>
          <t>Fried rice with prawns</t>
        </is>
      </c>
      <c r="B3" s="4" t="inlineStr">
        <is>
          <t>Prawn</t>
        </is>
      </c>
      <c r="C3" s="5">
        <f>IFERROR(IF(MAXIFS('Cook log'!A2:A1000,'Cook log'!C2:C1000,A3)=0,"",MAXIFS('Cook log'!A2:A1000,'Cook log'!C2:C1000,A3)),"")</f>
        <v/>
      </c>
      <c r="D3" s="4">
        <f>IF(C3="","",TODAY()-C3)</f>
        <v/>
      </c>
      <c r="E3" s="4">
        <f>COUNTIF('Cook log'!C2:C1000,A3)</f>
        <v/>
      </c>
      <c r="F3" s="6" t="n">
        <v>14</v>
      </c>
      <c r="G3" s="6">
        <f>IF(C3="","Never cooked",IF(D3&lt;F3,"Cooldown","Due"))</f>
        <v/>
      </c>
      <c r="H3" s="4" t="inlineStr"/>
    </row>
    <row r="4">
      <c r="A4" s="4" t="inlineStr">
        <is>
          <t>Steamed pomfret</t>
        </is>
      </c>
      <c r="B4" s="4" t="inlineStr">
        <is>
          <t>Fish</t>
        </is>
      </c>
      <c r="C4" s="5">
        <f>IFERROR(IF(MAXIFS('Cook log'!A2:A1000,'Cook log'!C2:C1000,A4)=0,"",MAXIFS('Cook log'!A2:A1000,'Cook log'!C2:C1000,A4)),"")</f>
        <v/>
      </c>
      <c r="D4" s="4">
        <f>IF(C4="","",TODAY()-C4)</f>
        <v/>
      </c>
      <c r="E4" s="4">
        <f>COUNTIF('Cook log'!C2:C1000,A4)</f>
        <v/>
      </c>
      <c r="F4" s="6" t="n">
        <v>21</v>
      </c>
      <c r="G4" s="6">
        <f>IF(C4="","Never cooked",IF(D4&lt;F4,"Cooldown","Due"))</f>
        <v/>
      </c>
      <c r="H4" s="4" t="inlineStr"/>
    </row>
    <row r="5">
      <c r="A5" s="4" t="inlineStr">
        <is>
          <t>Pork rib king</t>
        </is>
      </c>
      <c r="B5" s="4" t="inlineStr">
        <is>
          <t>Pork</t>
        </is>
      </c>
      <c r="C5" s="5">
        <f>IFERROR(IF(MAXIFS('Cook log'!A2:A1000,'Cook log'!C2:C1000,A5)=0,"",MAXIFS('Cook log'!A2:A1000,'Cook log'!C2:C1000,A5)),"")</f>
        <v/>
      </c>
      <c r="D5" s="4">
        <f>IF(C5="","",TODAY()-C5)</f>
        <v/>
      </c>
      <c r="E5" s="4">
        <f>COUNTIF('Cook log'!C2:C1000,A5)</f>
        <v/>
      </c>
      <c r="F5" s="6" t="n">
        <v>21</v>
      </c>
      <c r="G5" s="6">
        <f>IF(C5="","Never cooked",IF(D5&lt;F5,"Cooldown","Due"))</f>
        <v/>
      </c>
      <c r="H5" s="4" t="inlineStr"/>
    </row>
    <row r="6">
      <c r="A6" s="4" t="inlineStr">
        <is>
          <t>Eggplant with minced pork</t>
        </is>
      </c>
      <c r="B6" s="4" t="inlineStr">
        <is>
          <t>Pork</t>
        </is>
      </c>
      <c r="C6" s="5">
        <f>IFERROR(IF(MAXIFS('Cook log'!A2:A1000,'Cook log'!C2:C1000,A6)=0,"",MAXIFS('Cook log'!A2:A1000,'Cook log'!C2:C1000,A6)),"")</f>
        <v/>
      </c>
      <c r="D6" s="4">
        <f>IF(C6="","",TODAY()-C6)</f>
        <v/>
      </c>
      <c r="E6" s="4">
        <f>COUNTIF('Cook log'!C2:C1000,A6)</f>
        <v/>
      </c>
      <c r="F6" s="6" t="n">
        <v>21</v>
      </c>
      <c r="G6" s="6">
        <f>IF(C6="","Never cooked",IF(D6&lt;F6,"Cooldown","Due"))</f>
        <v/>
      </c>
      <c r="H6" s="4" t="inlineStr"/>
    </row>
    <row r="7">
      <c r="A7" s="4" t="inlineStr">
        <is>
          <t>Ee-fu mee</t>
        </is>
      </c>
      <c r="B7" s="4" t="inlineStr">
        <is>
          <t>Noodle</t>
        </is>
      </c>
      <c r="C7" s="5">
        <f>IFERROR(IF(MAXIFS('Cook log'!A2:A1000,'Cook log'!C2:C1000,A7)=0,"",MAXIFS('Cook log'!A2:A1000,'Cook log'!C2:C1000,A7)),"")</f>
        <v/>
      </c>
      <c r="D7" s="4">
        <f>IF(C7="","",TODAY()-C7)</f>
        <v/>
      </c>
      <c r="E7" s="4">
        <f>COUNTIF('Cook log'!C2:C1000,A7)</f>
        <v/>
      </c>
      <c r="F7" s="6" t="n">
        <v>21</v>
      </c>
      <c r="G7" s="6">
        <f>IF(C7="","Never cooked",IF(D7&lt;F7,"Cooldown","Due"))</f>
        <v/>
      </c>
      <c r="H7" s="4" t="inlineStr"/>
    </row>
    <row r="8">
      <c r="A8" s="4" t="inlineStr">
        <is>
          <t>HK style steamed seabass</t>
        </is>
      </c>
      <c r="B8" s="4" t="inlineStr">
        <is>
          <t>Fish</t>
        </is>
      </c>
      <c r="C8" s="5">
        <f>IFERROR(IF(MAXIFS('Cook log'!A2:A1000,'Cook log'!C2:C1000,A8)=0,"",MAXIFS('Cook log'!A2:A1000,'Cook log'!C2:C1000,A8)),"")</f>
        <v/>
      </c>
      <c r="D8" s="4">
        <f>IF(C8="","",TODAY()-C8)</f>
        <v/>
      </c>
      <c r="E8" s="4">
        <f>COUNTIF('Cook log'!C2:C1000,A8)</f>
        <v/>
      </c>
      <c r="F8" s="6" t="n">
        <v>21</v>
      </c>
      <c r="G8" s="6">
        <f>IF(C8="","Never cooked",IF(D8&lt;F8,"Cooldown","Due"))</f>
        <v/>
      </c>
      <c r="H8" s="4" t="inlineStr"/>
    </row>
    <row r="9">
      <c r="A9" s="4" t="inlineStr">
        <is>
          <t>Steamed egg (ah gong style)</t>
        </is>
      </c>
      <c r="B9" s="4" t="inlineStr">
        <is>
          <t>Egg</t>
        </is>
      </c>
      <c r="C9" s="5">
        <f>IFERROR(IF(MAXIFS('Cook log'!A2:A1000,'Cook log'!C2:C1000,A9)=0,"",MAXIFS('Cook log'!A2:A1000,'Cook log'!C2:C1000,A9)),"")</f>
        <v/>
      </c>
      <c r="D9" s="4">
        <f>IF(C9="","",TODAY()-C9)</f>
        <v/>
      </c>
      <c r="E9" s="4">
        <f>COUNTIF('Cook log'!C2:C1000,A9)</f>
        <v/>
      </c>
      <c r="F9" s="6" t="n">
        <v>14</v>
      </c>
      <c r="G9" s="6">
        <f>IF(C9="","Never cooked",IF(D9&lt;F9,"Cooldown","Due"))</f>
        <v/>
      </c>
      <c r="H9" s="4" t="inlineStr"/>
    </row>
    <row r="10">
      <c r="A10" s="4" t="inlineStr">
        <is>
          <t>Radish pork rib soup with dates</t>
        </is>
      </c>
      <c r="B10" s="4" t="inlineStr">
        <is>
          <t>Soup</t>
        </is>
      </c>
      <c r="C10" s="5">
        <f>IFERROR(IF(MAXIFS('Cook log'!A2:A1000,'Cook log'!C2:C1000,A10)=0,"",MAXIFS('Cook log'!A2:A1000,'Cook log'!C2:C1000,A10)),"")</f>
        <v/>
      </c>
      <c r="D10" s="4">
        <f>IF(C10="","",TODAY()-C10)</f>
        <v/>
      </c>
      <c r="E10" s="4">
        <f>COUNTIF('Cook log'!C2:C1000,A10)</f>
        <v/>
      </c>
      <c r="F10" s="6" t="n">
        <v>21</v>
      </c>
      <c r="G10" s="6">
        <f>IF(C10="","Never cooked",IF(D10&lt;F10,"Cooldown","Due"))</f>
        <v/>
      </c>
      <c r="H10" s="4" t="inlineStr"/>
    </row>
    <row r="11">
      <c r="A11" s="4" t="inlineStr">
        <is>
          <t>Wasabi mayo prawns</t>
        </is>
      </c>
      <c r="B11" s="4" t="inlineStr">
        <is>
          <t>Prawn</t>
        </is>
      </c>
      <c r="C11" s="5">
        <f>IFERROR(IF(MAXIFS('Cook log'!A2:A1000,'Cook log'!C2:C1000,A11)=0,"",MAXIFS('Cook log'!A2:A1000,'Cook log'!C2:C1000,A11)),"")</f>
        <v/>
      </c>
      <c r="D11" s="4">
        <f>IF(C11="","",TODAY()-C11)</f>
        <v/>
      </c>
      <c r="E11" s="4">
        <f>COUNTIF('Cook log'!C2:C1000,A11)</f>
        <v/>
      </c>
      <c r="F11" s="6" t="n">
        <v>21</v>
      </c>
      <c r="G11" s="6">
        <f>IF(C11="","Never cooked",IF(D11&lt;F11,"Cooldown","Due"))</f>
        <v/>
      </c>
      <c r="H11" s="4" t="inlineStr"/>
    </row>
    <row r="12">
      <c r="A12" s="4" t="inlineStr">
        <is>
          <t>Chicken chop</t>
        </is>
      </c>
      <c r="B12" s="4" t="inlineStr">
        <is>
          <t>Chicken</t>
        </is>
      </c>
      <c r="C12" s="5">
        <f>IFERROR(IF(MAXIFS('Cook log'!A2:A1000,'Cook log'!C2:C1000,A12)=0,"",MAXIFS('Cook log'!A2:A1000,'Cook log'!C2:C1000,A12)),"")</f>
        <v/>
      </c>
      <c r="D12" s="4">
        <f>IF(C12="","",TODAY()-C12)</f>
        <v/>
      </c>
      <c r="E12" s="4">
        <f>COUNTIF('Cook log'!C2:C1000,A12)</f>
        <v/>
      </c>
      <c r="F12" s="6" t="n">
        <v>21</v>
      </c>
      <c r="G12" s="6">
        <f>IF(C12="","Never cooked",IF(D12&lt;F12,"Cooldown","Due"))</f>
        <v/>
      </c>
      <c r="H12" s="4" t="inlineStr"/>
    </row>
    <row r="13">
      <c r="A13" s="4" t="inlineStr">
        <is>
          <t>Mash potatoes</t>
        </is>
      </c>
      <c r="B13" s="4" t="inlineStr">
        <is>
          <t>Side</t>
        </is>
      </c>
      <c r="C13" s="5">
        <f>IFERROR(IF(MAXIFS('Cook log'!A2:A1000,'Cook log'!C2:C1000,A13)=0,"",MAXIFS('Cook log'!A2:A1000,'Cook log'!C2:C1000,A13)),"")</f>
        <v/>
      </c>
      <c r="D13" s="4">
        <f>IF(C13="","",TODAY()-C13)</f>
        <v/>
      </c>
      <c r="E13" s="4">
        <f>COUNTIF('Cook log'!C2:C1000,A13)</f>
        <v/>
      </c>
      <c r="F13" s="6" t="n">
        <v>21</v>
      </c>
      <c r="G13" s="6">
        <f>IF(C13="","Never cooked",IF(D13&lt;F13,"Cooldown","Due"))</f>
        <v/>
      </c>
      <c r="H13" s="4" t="inlineStr"/>
    </row>
    <row r="14">
      <c r="A14" s="4" t="inlineStr">
        <is>
          <t>Roasted vegetables (oven)</t>
        </is>
      </c>
      <c r="B14" s="4" t="inlineStr">
        <is>
          <t>Vegetable</t>
        </is>
      </c>
      <c r="C14" s="5">
        <f>IFERROR(IF(MAXIFS('Cook log'!A2:A1000,'Cook log'!C2:C1000,A14)=0,"",MAXIFS('Cook log'!A2:A1000,'Cook log'!C2:C1000,A14)),"")</f>
        <v/>
      </c>
      <c r="D14" s="4">
        <f>IF(C14="","",TODAY()-C14)</f>
        <v/>
      </c>
      <c r="E14" s="4">
        <f>COUNTIF('Cook log'!C2:C1000,A14)</f>
        <v/>
      </c>
      <c r="F14" s="6" t="n">
        <v>21</v>
      </c>
      <c r="G14" s="6">
        <f>IF(C14="","Never cooked",IF(D14&lt;F14,"Cooldown","Due"))</f>
        <v/>
      </c>
      <c r="H14" s="4" t="inlineStr"/>
    </row>
    <row r="15">
      <c r="A15" s="4" t="inlineStr">
        <is>
          <t>Sticky pork belly</t>
        </is>
      </c>
      <c r="B15" s="4" t="inlineStr">
        <is>
          <t>Pork</t>
        </is>
      </c>
      <c r="C15" s="5">
        <f>IFERROR(IF(MAXIFS('Cook log'!A2:A1000,'Cook log'!C2:C1000,A15)=0,"",MAXIFS('Cook log'!A2:A1000,'Cook log'!C2:C1000,A15)),"")</f>
        <v/>
      </c>
      <c r="D15" s="4">
        <f>IF(C15="","",TODAY()-C15)</f>
        <v/>
      </c>
      <c r="E15" s="4">
        <f>COUNTIF('Cook log'!C2:C1000,A15)</f>
        <v/>
      </c>
      <c r="F15" s="6" t="n">
        <v>21</v>
      </c>
      <c r="G15" s="6">
        <f>IF(C15="","Never cooked",IF(D15&lt;F15,"Cooldown","Due"))</f>
        <v/>
      </c>
      <c r="H15" s="4" t="inlineStr"/>
    </row>
    <row r="16">
      <c r="A16" s="4" t="inlineStr">
        <is>
          <t>Taiwanese braised pork rice</t>
        </is>
      </c>
      <c r="B16" s="4" t="inlineStr">
        <is>
          <t>Pork</t>
        </is>
      </c>
      <c r="C16" s="5">
        <f>IFERROR(IF(MAXIFS('Cook log'!A2:A1000,'Cook log'!C2:C1000,A16)=0,"",MAXIFS('Cook log'!A2:A1000,'Cook log'!C2:C1000,A16)),"")</f>
        <v/>
      </c>
      <c r="D16" s="4">
        <f>IF(C16="","",TODAY()-C16)</f>
        <v/>
      </c>
      <c r="E16" s="4">
        <f>COUNTIF('Cook log'!C2:C1000,A16)</f>
        <v/>
      </c>
      <c r="F16" s="6" t="n">
        <v>28</v>
      </c>
      <c r="G16" s="6">
        <f>IF(C16="","Never cooked",IF(D16&lt;F16,"Cooldown","Due"))</f>
        <v/>
      </c>
      <c r="H16" s="4" t="inlineStr"/>
    </row>
    <row r="17">
      <c r="A17" s="4" t="inlineStr">
        <is>
          <t>Steamed fish paste with minced meat</t>
        </is>
      </c>
      <c r="B17" s="4" t="inlineStr">
        <is>
          <t>Fish</t>
        </is>
      </c>
      <c r="C17" s="5">
        <f>IFERROR(IF(MAXIFS('Cook log'!A2:A1000,'Cook log'!C2:C1000,A17)=0,"",MAXIFS('Cook log'!A2:A1000,'Cook log'!C2:C1000,A17)),"")</f>
        <v/>
      </c>
      <c r="D17" s="4">
        <f>IF(C17="","",TODAY()-C17)</f>
        <v/>
      </c>
      <c r="E17" s="4">
        <f>COUNTIF('Cook log'!C2:C1000,A17)</f>
        <v/>
      </c>
      <c r="F17" s="6" t="n">
        <v>28</v>
      </c>
      <c r="G17" s="6">
        <f>IF(C17="","Never cooked",IF(D17&lt;F17,"Cooldown","Due"))</f>
        <v/>
      </c>
      <c r="H17" s="4" t="inlineStr"/>
    </row>
    <row r="18">
      <c r="A18" s="4" t="inlineStr">
        <is>
          <t>Steamed tofu with minced pork</t>
        </is>
      </c>
      <c r="B18" s="4" t="inlineStr">
        <is>
          <t>Egg</t>
        </is>
      </c>
      <c r="C18" s="5">
        <f>IFERROR(IF(MAXIFS('Cook log'!A2:A1000,'Cook log'!C2:C1000,A18)=0,"",MAXIFS('Cook log'!A2:A1000,'Cook log'!C2:C1000,A18)),"")</f>
        <v/>
      </c>
      <c r="D18" s="4">
        <f>IF(C18="","",TODAY()-C18)</f>
        <v/>
      </c>
      <c r="E18" s="4">
        <f>COUNTIF('Cook log'!C2:C1000,A18)</f>
        <v/>
      </c>
      <c r="F18" s="6" t="n">
        <v>21</v>
      </c>
      <c r="G18" s="6">
        <f>IF(C18="","Never cooked",IF(D18&lt;F18,"Cooldown","Due"))</f>
        <v/>
      </c>
      <c r="H18" s="4" t="inlineStr"/>
    </row>
    <row r="19">
      <c r="A19" s="4" t="inlineStr">
        <is>
          <t>Ah gong gai fan</t>
        </is>
      </c>
      <c r="B19" s="4" t="inlineStr">
        <is>
          <t>Chicken</t>
        </is>
      </c>
      <c r="C19" s="5">
        <f>IFERROR(IF(MAXIFS('Cook log'!A2:A1000,'Cook log'!C2:C1000,A19)=0,"",MAXIFS('Cook log'!A2:A1000,'Cook log'!C2:C1000,A19)),"")</f>
        <v/>
      </c>
      <c r="D19" s="4">
        <f>IF(C19="","",TODAY()-C19)</f>
        <v/>
      </c>
      <c r="E19" s="4">
        <f>COUNTIF('Cook log'!C2:C1000,A19)</f>
        <v/>
      </c>
      <c r="F19" s="6" t="n">
        <v>21</v>
      </c>
      <c r="G19" s="6">
        <f>IF(C19="","Never cooked",IF(D19&lt;F19,"Cooldown","Due"))</f>
        <v/>
      </c>
      <c r="H19" s="4" t="inlineStr"/>
    </row>
    <row r="20">
      <c r="A20" s="4" t="inlineStr">
        <is>
          <t>Sesame chicken mee sua</t>
        </is>
      </c>
      <c r="B20" s="4" t="inlineStr">
        <is>
          <t>Chicken</t>
        </is>
      </c>
      <c r="C20" s="5">
        <f>IFERROR(IF(MAXIFS('Cook log'!A2:A1000,'Cook log'!C2:C1000,A20)=0,"",MAXIFS('Cook log'!A2:A1000,'Cook log'!C2:C1000,A20)),"")</f>
        <v/>
      </c>
      <c r="D20" s="4">
        <f>IF(C20="","",TODAY()-C20)</f>
        <v/>
      </c>
      <c r="E20" s="4">
        <f>COUNTIF('Cook log'!C2:C1000,A20)</f>
        <v/>
      </c>
      <c r="F20" s="6" t="n">
        <v>21</v>
      </c>
      <c r="G20" s="6">
        <f>IF(C20="","Never cooked",IF(D20&lt;F20,"Cooldown","Due"))</f>
        <v/>
      </c>
      <c r="H20" s="4" t="inlineStr"/>
    </row>
    <row r="21">
      <c r="A21" s="4" t="inlineStr">
        <is>
          <t>Teriyaki chicken cutlet</t>
        </is>
      </c>
      <c r="B21" s="4" t="inlineStr">
        <is>
          <t>Chicken</t>
        </is>
      </c>
      <c r="C21" s="5">
        <f>IFERROR(IF(MAXIFS('Cook log'!A2:A1000,'Cook log'!C2:C1000,A21)=0,"",MAXIFS('Cook log'!A2:A1000,'Cook log'!C2:C1000,A21)),"")</f>
        <v/>
      </c>
      <c r="D21" s="4">
        <f>IF(C21="","",TODAY()-C21)</f>
        <v/>
      </c>
      <c r="E21" s="4">
        <f>COUNTIF('Cook log'!C2:C1000,A21)</f>
        <v/>
      </c>
      <c r="F21" s="6" t="n">
        <v>28</v>
      </c>
      <c r="G21" s="6">
        <f>IF(C21="","Never cooked",IF(D21&lt;F21,"Cooldown","Due"))</f>
        <v/>
      </c>
      <c r="H21" s="4" t="inlineStr"/>
    </row>
    <row r="22">
      <c r="A22" s="4" t="inlineStr">
        <is>
          <t>Macau Portuguese chicken rice</t>
        </is>
      </c>
      <c r="B22" s="4" t="inlineStr">
        <is>
          <t>Chicken</t>
        </is>
      </c>
      <c r="C22" s="5">
        <f>IFERROR(IF(MAXIFS('Cook log'!A2:A1000,'Cook log'!C2:C1000,A22)=0,"",MAXIFS('Cook log'!A2:A1000,'Cook log'!C2:C1000,A22)),"")</f>
        <v/>
      </c>
      <c r="D22" s="4">
        <f>IF(C22="","",TODAY()-C22)</f>
        <v/>
      </c>
      <c r="E22" s="4">
        <f>COUNTIF('Cook log'!C2:C1000,A22)</f>
        <v/>
      </c>
      <c r="F22" s="6" t="n">
        <v>35</v>
      </c>
      <c r="G22" s="6">
        <f>IF(C22="","Never cooked",IF(D22&lt;F22,"Cooldown","Due"))</f>
        <v/>
      </c>
      <c r="H22" s="4" t="inlineStr"/>
    </row>
    <row r="23">
      <c r="A23" s="4" t="inlineStr">
        <is>
          <t>Claypot chicken rice</t>
        </is>
      </c>
      <c r="B23" s="4" t="inlineStr">
        <is>
          <t>Chicken</t>
        </is>
      </c>
      <c r="C23" s="5">
        <f>IFERROR(IF(MAXIFS('Cook log'!A2:A1000,'Cook log'!C2:C1000,A23)=0,"",MAXIFS('Cook log'!A2:A1000,'Cook log'!C2:C1000,A23)),"")</f>
        <v/>
      </c>
      <c r="D23" s="4">
        <f>IF(C23="","",TODAY()-C23)</f>
        <v/>
      </c>
      <c r="E23" s="4">
        <f>COUNTIF('Cook log'!C2:C1000,A23)</f>
        <v/>
      </c>
      <c r="F23" s="6" t="n">
        <v>28</v>
      </c>
      <c r="G23" s="6">
        <f>IF(C23="","Never cooked",IF(D23&lt;F23,"Cooldown","Due"))</f>
        <v/>
      </c>
      <c r="H23" s="4" t="inlineStr"/>
    </row>
    <row r="24">
      <c r="A24" s="4" t="inlineStr">
        <is>
          <t>Baked chicken wings</t>
        </is>
      </c>
      <c r="B24" s="4" t="inlineStr">
        <is>
          <t>Chicken</t>
        </is>
      </c>
      <c r="C24" s="5">
        <f>IFERROR(IF(MAXIFS('Cook log'!A2:A1000,'Cook log'!C2:C1000,A24)=0,"",MAXIFS('Cook log'!A2:A1000,'Cook log'!C2:C1000,A24)),"")</f>
        <v/>
      </c>
      <c r="D24" s="4">
        <f>IF(C24="","",TODAY()-C24)</f>
        <v/>
      </c>
      <c r="E24" s="4">
        <f>COUNTIF('Cook log'!C2:C1000,A24)</f>
        <v/>
      </c>
      <c r="F24" s="6" t="n">
        <v>21</v>
      </c>
      <c r="G24" s="6">
        <f>IF(C24="","Never cooked",IF(D24&lt;F24,"Cooldown","Due"))</f>
        <v/>
      </c>
      <c r="H24" s="4" t="inlineStr"/>
    </row>
    <row r="25">
      <c r="A25" s="4" t="inlineStr">
        <is>
          <t>Steamed baby threadfin</t>
        </is>
      </c>
      <c r="B25" s="4" t="inlineStr">
        <is>
          <t>Fish</t>
        </is>
      </c>
      <c r="C25" s="5">
        <f>IFERROR(IF(MAXIFS('Cook log'!A2:A1000,'Cook log'!C2:C1000,A25)=0,"",MAXIFS('Cook log'!A2:A1000,'Cook log'!C2:C1000,A25)),"")</f>
        <v/>
      </c>
      <c r="D25" s="4">
        <f>IF(C25="","",TODAY()-C25)</f>
        <v/>
      </c>
      <c r="E25" s="4">
        <f>COUNTIF('Cook log'!C2:C1000,A25)</f>
        <v/>
      </c>
      <c r="F25" s="6" t="n">
        <v>21</v>
      </c>
      <c r="G25" s="6">
        <f>IF(C25="","Never cooked",IF(D25&lt;F25,"Cooldown","Due"))</f>
        <v/>
      </c>
      <c r="H25" s="4" t="inlineStr"/>
    </row>
    <row r="26">
      <c r="A26" s="4" t="inlineStr">
        <is>
          <t>Salmon kabayaki</t>
        </is>
      </c>
      <c r="B26" s="4" t="inlineStr">
        <is>
          <t>Fish</t>
        </is>
      </c>
      <c r="C26" s="5">
        <f>IFERROR(IF(MAXIFS('Cook log'!A2:A1000,'Cook log'!C2:C1000,A26)=0,"",MAXIFS('Cook log'!A2:A1000,'Cook log'!C2:C1000,A26)),"")</f>
        <v/>
      </c>
      <c r="D26" s="4">
        <f>IF(C26="","",TODAY()-C26)</f>
        <v/>
      </c>
      <c r="E26" s="4">
        <f>COUNTIF('Cook log'!C2:C1000,A26)</f>
        <v/>
      </c>
      <c r="F26" s="6" t="n">
        <v>28</v>
      </c>
      <c r="G26" s="6">
        <f>IF(C26="","Never cooked",IF(D26&lt;F26,"Cooldown","Due"))</f>
        <v/>
      </c>
      <c r="H26" s="4" t="inlineStr"/>
    </row>
    <row r="27">
      <c r="A27" s="4" t="inlineStr">
        <is>
          <t>Lemon butter salmon</t>
        </is>
      </c>
      <c r="B27" s="4" t="inlineStr">
        <is>
          <t>Fish</t>
        </is>
      </c>
      <c r="C27" s="5">
        <f>IFERROR(IF(MAXIFS('Cook log'!A2:A1000,'Cook log'!C2:C1000,A27)=0,"",MAXIFS('Cook log'!A2:A1000,'Cook log'!C2:C1000,A27)),"")</f>
        <v/>
      </c>
      <c r="D27" s="4">
        <f>IF(C27="","",TODAY()-C27)</f>
        <v/>
      </c>
      <c r="E27" s="4">
        <f>COUNTIF('Cook log'!C2:C1000,A27)</f>
        <v/>
      </c>
      <c r="F27" s="6" t="n">
        <v>28</v>
      </c>
      <c r="G27" s="6">
        <f>IF(C27="","Never cooked",IF(D27&lt;F27,"Cooldown","Due"))</f>
        <v/>
      </c>
      <c r="H27" s="4" t="inlineStr"/>
    </row>
    <row r="28">
      <c r="A28" s="4" t="inlineStr">
        <is>
          <t>Assam fish</t>
        </is>
      </c>
      <c r="B28" s="4" t="inlineStr">
        <is>
          <t>Fish</t>
        </is>
      </c>
      <c r="C28" s="5">
        <f>IFERROR(IF(MAXIFS('Cook log'!A2:A1000,'Cook log'!C2:C1000,A28)=0,"",MAXIFS('Cook log'!A2:A1000,'Cook log'!C2:C1000,A28)),"")</f>
        <v/>
      </c>
      <c r="D28" s="4">
        <f>IF(C28="","",TODAY()-C28)</f>
        <v/>
      </c>
      <c r="E28" s="4">
        <f>COUNTIF('Cook log'!C2:C1000,A28)</f>
        <v/>
      </c>
      <c r="F28" s="6" t="n">
        <v>28</v>
      </c>
      <c r="G28" s="6">
        <f>IF(C28="","Never cooked",IF(D28&lt;F28,"Cooldown","Due"))</f>
        <v/>
      </c>
      <c r="H28" s="4" t="inlineStr"/>
    </row>
    <row r="29">
      <c r="A29" s="4" t="inlineStr">
        <is>
          <t>Thai style steamed seabass</t>
        </is>
      </c>
      <c r="B29" s="4" t="inlineStr">
        <is>
          <t>Fish</t>
        </is>
      </c>
      <c r="C29" s="5">
        <f>IFERROR(IF(MAXIFS('Cook log'!A2:A1000,'Cook log'!C2:C1000,A29)=0,"",MAXIFS('Cook log'!A2:A1000,'Cook log'!C2:C1000,A29)),"")</f>
        <v/>
      </c>
      <c r="D29" s="4">
        <f>IF(C29="","",TODAY()-C29)</f>
        <v/>
      </c>
      <c r="E29" s="4">
        <f>COUNTIF('Cook log'!C2:C1000,A29)</f>
        <v/>
      </c>
      <c r="F29" s="6" t="n">
        <v>28</v>
      </c>
      <c r="G29" s="6">
        <f>IF(C29="","Never cooked",IF(D29&lt;F29,"Cooldown","Due"))</f>
        <v/>
      </c>
      <c r="H29" s="4" t="inlineStr"/>
    </row>
    <row r="30">
      <c r="A30" s="4" t="inlineStr">
        <is>
          <t>Fish soup</t>
        </is>
      </c>
      <c r="B30" s="4" t="inlineStr">
        <is>
          <t>Fish</t>
        </is>
      </c>
      <c r="C30" s="5">
        <f>IFERROR(IF(MAXIFS('Cook log'!A2:A1000,'Cook log'!C2:C1000,A30)=0,"",MAXIFS('Cook log'!A2:A1000,'Cook log'!C2:C1000,A30)),"")</f>
        <v/>
      </c>
      <c r="D30" s="4">
        <f>IF(C30="","",TODAY()-C30)</f>
        <v/>
      </c>
      <c r="E30" s="4">
        <f>COUNTIF('Cook log'!C2:C1000,A30)</f>
        <v/>
      </c>
      <c r="F30" s="6" t="n">
        <v>21</v>
      </c>
      <c r="G30" s="6">
        <f>IF(C30="","Never cooked",IF(D30&lt;F30,"Cooldown","Due"))</f>
        <v/>
      </c>
      <c r="H30" s="4" t="inlineStr"/>
    </row>
    <row r="31">
      <c r="A31" s="4" t="inlineStr">
        <is>
          <t>Prawn omelette</t>
        </is>
      </c>
      <c r="B31" s="4" t="inlineStr">
        <is>
          <t>Prawn</t>
        </is>
      </c>
      <c r="C31" s="5">
        <f>IFERROR(IF(MAXIFS('Cook log'!A2:A1000,'Cook log'!C2:C1000,A31)=0,"",MAXIFS('Cook log'!A2:A1000,'Cook log'!C2:C1000,A31)),"")</f>
        <v/>
      </c>
      <c r="D31" s="4">
        <f>IF(C31="","",TODAY()-C31)</f>
        <v/>
      </c>
      <c r="E31" s="4">
        <f>COUNTIF('Cook log'!C2:C1000,A31)</f>
        <v/>
      </c>
      <c r="F31" s="6" t="n">
        <v>21</v>
      </c>
      <c r="G31" s="6">
        <f>IF(C31="","Never cooked",IF(D31&lt;F31,"Cooldown","Due"))</f>
        <v/>
      </c>
      <c r="H31" s="4" t="inlineStr"/>
    </row>
    <row r="32">
      <c r="A32" s="4" t="inlineStr">
        <is>
          <t>Pineapple fried rice</t>
        </is>
      </c>
      <c r="B32" s="4" t="inlineStr">
        <is>
          <t>Rice</t>
        </is>
      </c>
      <c r="C32" s="5">
        <f>IFERROR(IF(MAXIFS('Cook log'!A2:A1000,'Cook log'!C2:C1000,A32)=0,"",MAXIFS('Cook log'!A2:A1000,'Cook log'!C2:C1000,A32)),"")</f>
        <v/>
      </c>
      <c r="D32" s="4">
        <f>IF(C32="","",TODAY()-C32)</f>
        <v/>
      </c>
      <c r="E32" s="4">
        <f>COUNTIF('Cook log'!C2:C1000,A32)</f>
        <v/>
      </c>
      <c r="F32" s="6" t="n">
        <v>28</v>
      </c>
      <c r="G32" s="6">
        <f>IF(C32="","Never cooked",IF(D32&lt;F32,"Cooldown","Due"))</f>
        <v/>
      </c>
      <c r="H32" s="4" t="inlineStr"/>
    </row>
    <row r="33">
      <c r="A33" s="4" t="inlineStr">
        <is>
          <t>Egg fried rice</t>
        </is>
      </c>
      <c r="B33" s="4" t="inlineStr">
        <is>
          <t>Rice</t>
        </is>
      </c>
      <c r="C33" s="5">
        <f>IFERROR(IF(MAXIFS('Cook log'!A2:A1000,'Cook log'!C2:C1000,A33)=0,"",MAXIFS('Cook log'!A2:A1000,'Cook log'!C2:C1000,A33)),"")</f>
        <v/>
      </c>
      <c r="D33" s="4">
        <f>IF(C33="","",TODAY()-C33)</f>
        <v/>
      </c>
      <c r="E33" s="4">
        <f>COUNTIF('Cook log'!C2:C1000,A33)</f>
        <v/>
      </c>
      <c r="F33" s="6" t="n">
        <v>14</v>
      </c>
      <c r="G33" s="6">
        <f>IF(C33="","Never cooked",IF(D33&lt;F33,"Cooldown","Due"))</f>
        <v/>
      </c>
      <c r="H33" s="4" t="inlineStr"/>
    </row>
    <row r="34">
      <c r="A34" s="4" t="inlineStr">
        <is>
          <t>Yam rice</t>
        </is>
      </c>
      <c r="B34" s="4" t="inlineStr">
        <is>
          <t>Rice</t>
        </is>
      </c>
      <c r="C34" s="5">
        <f>IFERROR(IF(MAXIFS('Cook log'!A2:A1000,'Cook log'!C2:C1000,A34)=0,"",MAXIFS('Cook log'!A2:A1000,'Cook log'!C2:C1000,A34)),"")</f>
        <v/>
      </c>
      <c r="D34" s="4">
        <f>IF(C34="","",TODAY()-C34)</f>
        <v/>
      </c>
      <c r="E34" s="4">
        <f>COUNTIF('Cook log'!C2:C1000,A34)</f>
        <v/>
      </c>
      <c r="F34" s="6" t="n">
        <v>28</v>
      </c>
      <c r="G34" s="6">
        <f>IF(C34="","Never cooked",IF(D34&lt;F34,"Cooldown","Due"))</f>
        <v/>
      </c>
      <c r="H34" s="4" t="inlineStr"/>
    </row>
    <row r="35">
      <c r="A35" s="4" t="inlineStr">
        <is>
          <t>Hokkien kiam png</t>
        </is>
      </c>
      <c r="B35" s="4" t="inlineStr">
        <is>
          <t>Rice</t>
        </is>
      </c>
      <c r="C35" s="5">
        <f>IFERROR(IF(MAXIFS('Cook log'!A2:A1000,'Cook log'!C2:C1000,A35)=0,"",MAXIFS('Cook log'!A2:A1000,'Cook log'!C2:C1000,A35)),"")</f>
        <v/>
      </c>
      <c r="D35" s="4">
        <f>IF(C35="","",TODAY()-C35)</f>
        <v/>
      </c>
      <c r="E35" s="4">
        <f>COUNTIF('Cook log'!C2:C1000,A35)</f>
        <v/>
      </c>
      <c r="F35" s="6" t="n">
        <v>28</v>
      </c>
      <c r="G35" s="6">
        <f>IF(C35="","Never cooked",IF(D35&lt;F35,"Cooldown","Due"))</f>
        <v/>
      </c>
      <c r="H35" s="4" t="inlineStr"/>
    </row>
    <row r="36">
      <c r="A36" s="4" t="inlineStr">
        <is>
          <t>Stir fried bee hoon</t>
        </is>
      </c>
      <c r="B36" s="4" t="inlineStr">
        <is>
          <t>Noodle</t>
        </is>
      </c>
      <c r="C36" s="5">
        <f>IFERROR(IF(MAXIFS('Cook log'!A2:A1000,'Cook log'!C2:C1000,A36)=0,"",MAXIFS('Cook log'!A2:A1000,'Cook log'!C2:C1000,A36)),"")</f>
        <v/>
      </c>
      <c r="D36" s="4">
        <f>IF(C36="","",TODAY()-C36)</f>
        <v/>
      </c>
      <c r="E36" s="4">
        <f>COUNTIF('Cook log'!C2:C1000,A36)</f>
        <v/>
      </c>
      <c r="F36" s="6" t="n">
        <v>14</v>
      </c>
      <c r="G36" s="6">
        <f>IF(C36="","Never cooked",IF(D36&lt;F36,"Cooldown","Due"))</f>
        <v/>
      </c>
      <c r="H36" s="4" t="inlineStr"/>
    </row>
    <row r="37">
      <c r="A37" s="4" t="inlineStr">
        <is>
          <t>Fried udon</t>
        </is>
      </c>
      <c r="B37" s="4" t="inlineStr">
        <is>
          <t>Noodle</t>
        </is>
      </c>
      <c r="C37" s="5">
        <f>IFERROR(IF(MAXIFS('Cook log'!A2:A1000,'Cook log'!C2:C1000,A37)=0,"",MAXIFS('Cook log'!A2:A1000,'Cook log'!C2:C1000,A37)),"")</f>
        <v/>
      </c>
      <c r="D37" s="4">
        <f>IF(C37="","",TODAY()-C37)</f>
        <v/>
      </c>
      <c r="E37" s="4">
        <f>COUNTIF('Cook log'!C2:C1000,A37)</f>
        <v/>
      </c>
      <c r="F37" s="6" t="n">
        <v>21</v>
      </c>
      <c r="G37" s="6">
        <f>IF(C37="","Never cooked",IF(D37&lt;F37,"Cooldown","Due"))</f>
        <v/>
      </c>
      <c r="H37" s="4" t="inlineStr"/>
    </row>
    <row r="38">
      <c r="A38" s="4" t="inlineStr">
        <is>
          <t>Hong Kong style fried noodles</t>
        </is>
      </c>
      <c r="B38" s="4" t="inlineStr">
        <is>
          <t>Noodle</t>
        </is>
      </c>
      <c r="C38" s="5">
        <f>IFERROR(IF(MAXIFS('Cook log'!A2:A1000,'Cook log'!C2:C1000,A38)=0,"",MAXIFS('Cook log'!A2:A1000,'Cook log'!C2:C1000,A38)),"")</f>
        <v/>
      </c>
      <c r="D38" s="4">
        <f>IF(C38="","",TODAY()-C38)</f>
        <v/>
      </c>
      <c r="E38" s="4">
        <f>COUNTIF('Cook log'!C2:C1000,A38)</f>
        <v/>
      </c>
      <c r="F38" s="6" t="n">
        <v>21</v>
      </c>
      <c r="G38" s="6">
        <f>IF(C38="","Never cooked",IF(D38&lt;F38,"Cooldown","Due"))</f>
        <v/>
      </c>
      <c r="H38" s="4" t="inlineStr"/>
    </row>
    <row r="39">
      <c r="A39" s="4" t="inlineStr">
        <is>
          <t>Pork noodle soup</t>
        </is>
      </c>
      <c r="B39" s="4" t="inlineStr">
        <is>
          <t>Noodle</t>
        </is>
      </c>
      <c r="C39" s="5">
        <f>IFERROR(IF(MAXIFS('Cook log'!A2:A1000,'Cook log'!C2:C1000,A39)=0,"",MAXIFS('Cook log'!A2:A1000,'Cook log'!C2:C1000,A39)),"")</f>
        <v/>
      </c>
      <c r="D39" s="4">
        <f>IF(C39="","",TODAY()-C39)</f>
        <v/>
      </c>
      <c r="E39" s="4">
        <f>COUNTIF('Cook log'!C2:C1000,A39)</f>
        <v/>
      </c>
      <c r="F39" s="6" t="n">
        <v>21</v>
      </c>
      <c r="G39" s="6">
        <f>IF(C39="","Never cooked",IF(D39&lt;F39,"Cooldown","Due"))</f>
        <v/>
      </c>
      <c r="H39" s="4" t="inlineStr"/>
    </row>
    <row r="40">
      <c r="A40" s="4" t="inlineStr">
        <is>
          <t>Ah gong fried prawn noodle</t>
        </is>
      </c>
      <c r="B40" s="4" t="inlineStr">
        <is>
          <t>Noodle</t>
        </is>
      </c>
      <c r="C40" s="5">
        <f>IFERROR(IF(MAXIFS('Cook log'!A2:A1000,'Cook log'!C2:C1000,A40)=0,"",MAXIFS('Cook log'!A2:A1000,'Cook log'!C2:C1000,A40)),"")</f>
        <v/>
      </c>
      <c r="D40" s="4">
        <f>IF(C40="","",TODAY()-C40)</f>
        <v/>
      </c>
      <c r="E40" s="4">
        <f>COUNTIF('Cook log'!C2:C1000,A40)</f>
        <v/>
      </c>
      <c r="F40" s="6" t="n">
        <v>28</v>
      </c>
      <c r="G40" s="6">
        <f>IF(C40="","Never cooked",IF(D40&lt;F40,"Cooldown","Due"))</f>
        <v/>
      </c>
      <c r="H40" s="4" t="inlineStr"/>
    </row>
    <row r="41">
      <c r="A41" s="4" t="inlineStr">
        <is>
          <t>ABC soup</t>
        </is>
      </c>
      <c r="B41" s="4" t="inlineStr">
        <is>
          <t>Soup</t>
        </is>
      </c>
      <c r="C41" s="5">
        <f>IFERROR(IF(MAXIFS('Cook log'!A2:A1000,'Cook log'!C2:C1000,A41)=0,"",MAXIFS('Cook log'!A2:A1000,'Cook log'!C2:C1000,A41)),"")</f>
        <v/>
      </c>
      <c r="D41" s="4">
        <f>IF(C41="","",TODAY()-C41)</f>
        <v/>
      </c>
      <c r="E41" s="4">
        <f>COUNTIF('Cook log'!C2:C1000,A41)</f>
        <v/>
      </c>
      <c r="F41" s="6" t="n">
        <v>14</v>
      </c>
      <c r="G41" s="6">
        <f>IF(C41="","Never cooked",IF(D41&lt;F41,"Cooldown","Due"))</f>
        <v/>
      </c>
      <c r="H41" s="4" t="inlineStr"/>
    </row>
    <row r="42">
      <c r="A42" s="4" t="inlineStr">
        <is>
          <t>Watercress pork rib soup</t>
        </is>
      </c>
      <c r="B42" s="4" t="inlineStr">
        <is>
          <t>Soup</t>
        </is>
      </c>
      <c r="C42" s="5">
        <f>IFERROR(IF(MAXIFS('Cook log'!A2:A1000,'Cook log'!C2:C1000,A42)=0,"",MAXIFS('Cook log'!A2:A1000,'Cook log'!C2:C1000,A42)),"")</f>
        <v/>
      </c>
      <c r="D42" s="4">
        <f>IF(C42="","",TODAY()-C42)</f>
        <v/>
      </c>
      <c r="E42" s="4">
        <f>COUNTIF('Cook log'!C2:C1000,A42)</f>
        <v/>
      </c>
      <c r="F42" s="6" t="n">
        <v>21</v>
      </c>
      <c r="G42" s="6">
        <f>IF(C42="","Never cooked",IF(D42&lt;F42,"Cooldown","Due"))</f>
        <v/>
      </c>
      <c r="H42" s="4" t="inlineStr"/>
    </row>
    <row r="43">
      <c r="A43" s="4" t="inlineStr">
        <is>
          <t>Old cucumber pork rib soup</t>
        </is>
      </c>
      <c r="B43" s="4" t="inlineStr">
        <is>
          <t>Soup</t>
        </is>
      </c>
      <c r="C43" s="5">
        <f>IFERROR(IF(MAXIFS('Cook log'!A2:A1000,'Cook log'!C2:C1000,A43)=0,"",MAXIFS('Cook log'!A2:A1000,'Cook log'!C2:C1000,A43)),"")</f>
        <v/>
      </c>
      <c r="D43" s="4">
        <f>IF(C43="","",TODAY()-C43)</f>
        <v/>
      </c>
      <c r="E43" s="4">
        <f>COUNTIF('Cook log'!C2:C1000,A43)</f>
        <v/>
      </c>
      <c r="F43" s="6" t="n">
        <v>21</v>
      </c>
      <c r="G43" s="6">
        <f>IF(C43="","Never cooked",IF(D43&lt;F43,"Cooldown","Due"))</f>
        <v/>
      </c>
      <c r="H43" s="4" t="inlineStr"/>
    </row>
    <row r="44">
      <c r="A44" s="4" t="inlineStr">
        <is>
          <t>Winter melon pork rib soup</t>
        </is>
      </c>
      <c r="B44" s="4" t="inlineStr">
        <is>
          <t>Soup</t>
        </is>
      </c>
      <c r="C44" s="5">
        <f>IFERROR(IF(MAXIFS('Cook log'!A2:A1000,'Cook log'!C2:C1000,A44)=0,"",MAXIFS('Cook log'!A2:A1000,'Cook log'!C2:C1000,A44)),"")</f>
        <v/>
      </c>
      <c r="D44" s="4">
        <f>IF(C44="","",TODAY()-C44)</f>
        <v/>
      </c>
      <c r="E44" s="4">
        <f>COUNTIF('Cook log'!C2:C1000,A44)</f>
        <v/>
      </c>
      <c r="F44" s="6" t="n">
        <v>28</v>
      </c>
      <c r="G44" s="6">
        <f>IF(C44="","Never cooked",IF(D44&lt;F44,"Cooldown","Due"))</f>
        <v/>
      </c>
      <c r="H44" s="4" t="inlineStr"/>
    </row>
    <row r="45">
      <c r="A45" s="4" t="inlineStr">
        <is>
          <t>Pork rib spinach soup</t>
        </is>
      </c>
      <c r="B45" s="4" t="inlineStr">
        <is>
          <t>Soup</t>
        </is>
      </c>
      <c r="C45" s="5">
        <f>IFERROR(IF(MAXIFS('Cook log'!A2:A1000,'Cook log'!C2:C1000,A45)=0,"",MAXIFS('Cook log'!A2:A1000,'Cook log'!C2:C1000,A45)),"")</f>
        <v/>
      </c>
      <c r="D45" s="4">
        <f>IF(C45="","",TODAY()-C45)</f>
        <v/>
      </c>
      <c r="E45" s="4">
        <f>COUNTIF('Cook log'!C2:C1000,A45)</f>
        <v/>
      </c>
      <c r="F45" s="6" t="n">
        <v>21</v>
      </c>
      <c r="G45" s="6">
        <f>IF(C45="","Never cooked",IF(D45&lt;F45,"Cooldown","Due"))</f>
        <v/>
      </c>
      <c r="H45" s="4" t="inlineStr"/>
    </row>
    <row r="46">
      <c r="A46" s="4" t="inlineStr">
        <is>
          <t>Mushroom soup</t>
        </is>
      </c>
      <c r="B46" s="4" t="inlineStr">
        <is>
          <t>Soup</t>
        </is>
      </c>
      <c r="C46" s="5">
        <f>IFERROR(IF(MAXIFS('Cook log'!A2:A1000,'Cook log'!C2:C1000,A46)=0,"",MAXIFS('Cook log'!A2:A1000,'Cook log'!C2:C1000,A46)),"")</f>
        <v/>
      </c>
      <c r="D46" s="4">
        <f>IF(C46="","",TODAY()-C46)</f>
        <v/>
      </c>
      <c r="E46" s="4">
        <f>COUNTIF('Cook log'!C2:C1000,A46)</f>
        <v/>
      </c>
      <c r="F46" s="6" t="n">
        <v>28</v>
      </c>
      <c r="G46" s="6">
        <f>IF(C46="","Never cooked",IF(D46&lt;F46,"Cooldown","Due"))</f>
        <v/>
      </c>
      <c r="H46" s="4" t="inlineStr"/>
    </row>
    <row r="47">
      <c r="A47" s="4" t="inlineStr">
        <is>
          <t>Fishball soup with cabbage</t>
        </is>
      </c>
      <c r="B47" s="4" t="inlineStr">
        <is>
          <t>Soup</t>
        </is>
      </c>
      <c r="C47" s="5">
        <f>IFERROR(IF(MAXIFS('Cook log'!A2:A1000,'Cook log'!C2:C1000,A47)=0,"",MAXIFS('Cook log'!A2:A1000,'Cook log'!C2:C1000,A47)),"")</f>
        <v/>
      </c>
      <c r="D47" s="4">
        <f>IF(C47="","",TODAY()-C47)</f>
        <v/>
      </c>
      <c r="E47" s="4">
        <f>COUNTIF('Cook log'!C2:C1000,A47)</f>
        <v/>
      </c>
      <c r="F47" s="6" t="n">
        <v>21</v>
      </c>
      <c r="G47" s="6">
        <f>IF(C47="","Never cooked",IF(D47&lt;F47,"Cooldown","Due"))</f>
        <v/>
      </c>
      <c r="H47" s="4" t="inlineStr"/>
    </row>
    <row r="48">
      <c r="A48" s="4" t="inlineStr">
        <is>
          <t>Tomato egg</t>
        </is>
      </c>
      <c r="B48" s="4" t="inlineStr">
        <is>
          <t>Egg</t>
        </is>
      </c>
      <c r="C48" s="5">
        <f>IFERROR(IF(MAXIFS('Cook log'!A2:A1000,'Cook log'!C2:C1000,A48)=0,"",MAXIFS('Cook log'!A2:A1000,'Cook log'!C2:C1000,A48)),"")</f>
        <v/>
      </c>
      <c r="D48" s="4">
        <f>IF(C48="","",TODAY()-C48)</f>
        <v/>
      </c>
      <c r="E48" s="4">
        <f>COUNTIF('Cook log'!C2:C1000,A48)</f>
        <v/>
      </c>
      <c r="F48" s="6" t="n">
        <v>14</v>
      </c>
      <c r="G48" s="6">
        <f>IF(C48="","Never cooked",IF(D48&lt;F48,"Cooldown","Due"))</f>
        <v/>
      </c>
      <c r="H48" s="4" t="inlineStr"/>
    </row>
    <row r="49">
      <c r="A49" s="4" t="inlineStr">
        <is>
          <t>Egg with preserved radish</t>
        </is>
      </c>
      <c r="B49" s="4" t="inlineStr">
        <is>
          <t>Egg</t>
        </is>
      </c>
      <c r="C49" s="5">
        <f>IFERROR(IF(MAXIFS('Cook log'!A2:A1000,'Cook log'!C2:C1000,A49)=0,"",MAXIFS('Cook log'!A2:A1000,'Cook log'!C2:C1000,A49)),"")</f>
        <v/>
      </c>
      <c r="D49" s="4">
        <f>IF(C49="","",TODAY()-C49)</f>
        <v/>
      </c>
      <c r="E49" s="4">
        <f>COUNTIF('Cook log'!C2:C1000,A49)</f>
        <v/>
      </c>
      <c r="F49" s="6" t="n">
        <v>21</v>
      </c>
      <c r="G49" s="6">
        <f>IF(C49="","Never cooked",IF(D49&lt;F49,"Cooldown","Due"))</f>
        <v/>
      </c>
      <c r="H49" s="4" t="inlineStr"/>
    </row>
    <row r="50">
      <c r="A50" s="4" t="inlineStr">
        <is>
          <t>Three egg spinach broth</t>
        </is>
      </c>
      <c r="B50" s="4" t="inlineStr">
        <is>
          <t>Egg</t>
        </is>
      </c>
      <c r="C50" s="5">
        <f>IFERROR(IF(MAXIFS('Cook log'!A2:A1000,'Cook log'!C2:C1000,A50)=0,"",MAXIFS('Cook log'!A2:A1000,'Cook log'!C2:C1000,A50)),"")</f>
        <v/>
      </c>
      <c r="D50" s="4">
        <f>IF(C50="","",TODAY()-C50)</f>
        <v/>
      </c>
      <c r="E50" s="4">
        <f>COUNTIF('Cook log'!C2:C1000,A50)</f>
        <v/>
      </c>
      <c r="F50" s="6" t="n">
        <v>28</v>
      </c>
      <c r="G50" s="6">
        <f>IF(C50="","Never cooked",IF(D50&lt;F50,"Cooldown","Due"))</f>
        <v/>
      </c>
      <c r="H50" s="4" t="inlineStr"/>
    </row>
    <row r="51">
      <c r="A51" s="4" t="inlineStr">
        <is>
          <t>Steamed tofu with soy garlic sauce</t>
        </is>
      </c>
      <c r="B51" s="4" t="inlineStr">
        <is>
          <t>Egg</t>
        </is>
      </c>
      <c r="C51" s="5">
        <f>IFERROR(IF(MAXIFS('Cook log'!A2:A1000,'Cook log'!C2:C1000,A51)=0,"",MAXIFS('Cook log'!A2:A1000,'Cook log'!C2:C1000,A51)),"")</f>
        <v/>
      </c>
      <c r="D51" s="4">
        <f>IF(C51="","",TODAY()-C51)</f>
        <v/>
      </c>
      <c r="E51" s="4">
        <f>COUNTIF('Cook log'!C2:C1000,A51)</f>
        <v/>
      </c>
      <c r="F51" s="6" t="n">
        <v>21</v>
      </c>
      <c r="G51" s="6">
        <f>IF(C51="","Never cooked",IF(D51&lt;F51,"Cooldown","Due"))</f>
        <v/>
      </c>
      <c r="H51" s="4" t="inlineStr"/>
    </row>
    <row r="52">
      <c r="A52" s="4" t="inlineStr">
        <is>
          <t>Stir fried Sichuan string beans</t>
        </is>
      </c>
      <c r="B52" s="4" t="inlineStr">
        <is>
          <t>Vegetable</t>
        </is>
      </c>
      <c r="C52" s="5">
        <f>IFERROR(IF(MAXIFS('Cook log'!A2:A1000,'Cook log'!C2:C1000,A52)=0,"",MAXIFS('Cook log'!A2:A1000,'Cook log'!C2:C1000,A52)),"")</f>
        <v/>
      </c>
      <c r="D52" s="4">
        <f>IF(C52="","",TODAY()-C52)</f>
        <v/>
      </c>
      <c r="E52" s="4">
        <f>COUNTIF('Cook log'!C2:C1000,A52)</f>
        <v/>
      </c>
      <c r="F52" s="6" t="n">
        <v>21</v>
      </c>
      <c r="G52" s="6">
        <f>IF(C52="","Never cooked",IF(D52&lt;F52,"Cooldown","Due"))</f>
        <v/>
      </c>
      <c r="H52" s="4" t="inlineStr"/>
    </row>
    <row r="53">
      <c r="A53" s="4" t="inlineStr">
        <is>
          <t>Stir fried baby spinach</t>
        </is>
      </c>
      <c r="B53" s="4" t="inlineStr">
        <is>
          <t>Vegetable</t>
        </is>
      </c>
      <c r="C53" s="5">
        <f>IFERROR(IF(MAXIFS('Cook log'!A2:A1000,'Cook log'!C2:C1000,A53)=0,"",MAXIFS('Cook log'!A2:A1000,'Cook log'!C2:C1000,A53)),"")</f>
        <v/>
      </c>
      <c r="D53" s="4">
        <f>IF(C53="","",TODAY()-C53)</f>
        <v/>
      </c>
      <c r="E53" s="4">
        <f>COUNTIF('Cook log'!C2:C1000,A53)</f>
        <v/>
      </c>
      <c r="F53" s="6" t="n">
        <v>14</v>
      </c>
      <c r="G53" s="6">
        <f>IF(C53="","Never cooked",IF(D53&lt;F53,"Cooldown","Due"))</f>
        <v/>
      </c>
      <c r="H53" s="4" t="inlineStr"/>
    </row>
    <row r="54">
      <c r="A54" s="4" t="inlineStr">
        <is>
          <t>Broccoli stir fry with mushroom</t>
        </is>
      </c>
      <c r="B54" s="4" t="inlineStr">
        <is>
          <t>Vegetable</t>
        </is>
      </c>
      <c r="C54" s="5">
        <f>IFERROR(IF(MAXIFS('Cook log'!A2:A1000,'Cook log'!C2:C1000,A54)=0,"",MAXIFS('Cook log'!A2:A1000,'Cook log'!C2:C1000,A54)),"")</f>
        <v/>
      </c>
      <c r="D54" s="4">
        <f>IF(C54="","",TODAY()-C54)</f>
        <v/>
      </c>
      <c r="E54" s="4">
        <f>COUNTIF('Cook log'!C2:C1000,A54)</f>
        <v/>
      </c>
      <c r="F54" s="6" t="n">
        <v>14</v>
      </c>
      <c r="G54" s="6">
        <f>IF(C54="","Never cooked",IF(D54&lt;F54,"Cooldown","Due"))</f>
        <v/>
      </c>
      <c r="H54" s="4" t="inlineStr"/>
    </row>
    <row r="55">
      <c r="A55" s="4" t="inlineStr">
        <is>
          <t>Tofu hotplate with broccoli</t>
        </is>
      </c>
      <c r="B55" s="4" t="inlineStr">
        <is>
          <t>Vegetable</t>
        </is>
      </c>
      <c r="C55" s="5">
        <f>IFERROR(IF(MAXIFS('Cook log'!A2:A1000,'Cook log'!C2:C1000,A55)=0,"",MAXIFS('Cook log'!A2:A1000,'Cook log'!C2:C1000,A55)),"")</f>
        <v/>
      </c>
      <c r="D55" s="4">
        <f>IF(C55="","",TODAY()-C55)</f>
        <v/>
      </c>
      <c r="E55" s="4">
        <f>COUNTIF('Cook log'!C2:C1000,A55)</f>
        <v/>
      </c>
      <c r="F55" s="6" t="n">
        <v>21</v>
      </c>
      <c r="G55" s="6">
        <f>IF(C55="","Never cooked",IF(D55&lt;F55,"Cooldown","Due"))</f>
        <v/>
      </c>
      <c r="H55" s="4" t="inlineStr"/>
    </row>
    <row r="56">
      <c r="A56" s="4" t="inlineStr">
        <is>
          <t>Moroccan vegetable stew</t>
        </is>
      </c>
      <c r="B56" s="4" t="inlineStr">
        <is>
          <t>Vegetable</t>
        </is>
      </c>
      <c r="C56" s="5">
        <f>IFERROR(IF(MAXIFS('Cook log'!A2:A1000,'Cook log'!C2:C1000,A56)=0,"",MAXIFS('Cook log'!A2:A1000,'Cook log'!C2:C1000,A56)),"")</f>
        <v/>
      </c>
      <c r="D56" s="4">
        <f>IF(C56="","",TODAY()-C56)</f>
        <v/>
      </c>
      <c r="E56" s="4">
        <f>COUNTIF('Cook log'!C2:C1000,A56)</f>
        <v/>
      </c>
      <c r="F56" s="6" t="n">
        <v>28</v>
      </c>
      <c r="G56" s="6">
        <f>IF(C56="","Never cooked",IF(D56&lt;F56,"Cooldown","Due"))</f>
        <v/>
      </c>
      <c r="H56" s="4" t="inlineStr"/>
    </row>
    <row r="57">
      <c r="A57" s="4" t="inlineStr">
        <is>
          <t>Hey zho (prawn rolls)</t>
        </is>
      </c>
      <c r="B57" s="4" t="inlineStr">
        <is>
          <t>Side</t>
        </is>
      </c>
      <c r="C57" s="5">
        <f>IFERROR(IF(MAXIFS('Cook log'!A2:A1000,'Cook log'!C2:C1000,A57)=0,"",MAXIFS('Cook log'!A2:A1000,'Cook log'!C2:C1000,A57)),"")</f>
        <v/>
      </c>
      <c r="D57" s="4">
        <f>IF(C57="","",TODAY()-C57)</f>
        <v/>
      </c>
      <c r="E57" s="4">
        <f>COUNTIF('Cook log'!C2:C1000,A57)</f>
        <v/>
      </c>
      <c r="F57" s="6" t="n">
        <v>21</v>
      </c>
      <c r="G57" s="6">
        <f>IF(C57="","Never cooked",IF(D57&lt;F57,"Cooldown","Due"))</f>
        <v/>
      </c>
      <c r="H57" s="4" t="inlineStr"/>
    </row>
    <row r="58">
      <c r="A58" s="4" t="inlineStr">
        <is>
          <t>Thai fishcakes</t>
        </is>
      </c>
      <c r="B58" s="4" t="inlineStr">
        <is>
          <t>Side</t>
        </is>
      </c>
      <c r="C58" s="5">
        <f>IFERROR(IF(MAXIFS('Cook log'!A2:A1000,'Cook log'!C2:C1000,A58)=0,"",MAXIFS('Cook log'!A2:A1000,'Cook log'!C2:C1000,A58)),"")</f>
        <v/>
      </c>
      <c r="D58" s="4">
        <f>IF(C58="","",TODAY()-C58)</f>
        <v/>
      </c>
      <c r="E58" s="4">
        <f>COUNTIF('Cook log'!C2:C1000,A58)</f>
        <v/>
      </c>
      <c r="F58" s="6" t="n">
        <v>28</v>
      </c>
      <c r="G58" s="6">
        <f>IF(C58="","Never cooked",IF(D58&lt;F58,"Cooldown","Due"))</f>
        <v/>
      </c>
      <c r="H58" s="4" t="inlineStr"/>
    </row>
    <row r="59">
      <c r="A59" s="4" t="inlineStr">
        <is>
          <t>Beef steak</t>
        </is>
      </c>
      <c r="B59" s="4" t="inlineStr">
        <is>
          <t>Beef</t>
        </is>
      </c>
      <c r="C59" s="5">
        <f>IFERROR(IF(MAXIFS('Cook log'!A2:A1000,'Cook log'!C2:C1000,A59)=0,"",MAXIFS('Cook log'!A2:A1000,'Cook log'!C2:C1000,A59)),"")</f>
        <v/>
      </c>
      <c r="D59" s="4">
        <f>IF(C59="","",TODAY()-C59)</f>
        <v/>
      </c>
      <c r="E59" s="4">
        <f>COUNTIF('Cook log'!C2:C1000,A59)</f>
        <v/>
      </c>
      <c r="F59" s="6" t="n">
        <v>28</v>
      </c>
      <c r="G59" s="6">
        <f>IF(C59="","Never cooked",IF(D59&lt;F59,"Cooldown","Due"))</f>
        <v/>
      </c>
      <c r="H59" s="4" t="inlineStr"/>
    </row>
    <row r="60">
      <c r="A60" s="4" t="inlineStr">
        <is>
          <t>Cubano sandwich</t>
        </is>
      </c>
      <c r="B60" s="4" t="inlineStr">
        <is>
          <t>Western</t>
        </is>
      </c>
      <c r="C60" s="5">
        <f>IFERROR(IF(MAXIFS('Cook log'!A2:A1000,'Cook log'!C2:C1000,A60)=0,"",MAXIFS('Cook log'!A2:A1000,'Cook log'!C2:C1000,A60)),"")</f>
        <v/>
      </c>
      <c r="D60" s="4">
        <f>IF(C60="","",TODAY()-C60)</f>
        <v/>
      </c>
      <c r="E60" s="4">
        <f>COUNTIF('Cook log'!C2:C1000,A60)</f>
        <v/>
      </c>
      <c r="F60" s="6" t="n">
        <v>35</v>
      </c>
      <c r="G60" s="6">
        <f>IF(C60="","Never cooked",IF(D60&lt;F60,"Cooldown","Due"))</f>
        <v/>
      </c>
      <c r="H60" s="4" t="inlineStr"/>
    </row>
    <row r="61">
      <c r="A61" s="4" t="inlineStr">
        <is>
          <t>Philly cheesesteak</t>
        </is>
      </c>
      <c r="B61" s="4" t="inlineStr">
        <is>
          <t>Western</t>
        </is>
      </c>
      <c r="C61" s="5">
        <f>IFERROR(IF(MAXIFS('Cook log'!A2:A1000,'Cook log'!C2:C1000,A61)=0,"",MAXIFS('Cook log'!A2:A1000,'Cook log'!C2:C1000,A61)),"")</f>
        <v/>
      </c>
      <c r="D61" s="4">
        <f>IF(C61="","",TODAY()-C61)</f>
        <v/>
      </c>
      <c r="E61" s="4">
        <f>COUNTIF('Cook log'!C2:C1000,A61)</f>
        <v/>
      </c>
      <c r="F61" s="6" t="n">
        <v>35</v>
      </c>
      <c r="G61" s="6">
        <f>IF(C61="","Never cooked",IF(D61&lt;F61,"Cooldown","Due"))</f>
        <v/>
      </c>
      <c r="H61" s="4" t="inlineStr"/>
    </row>
    <row r="62">
      <c r="A62" s="4" t="inlineStr">
        <is>
          <t>Green curry</t>
        </is>
      </c>
      <c r="B62" s="4" t="inlineStr">
        <is>
          <t>Other</t>
        </is>
      </c>
      <c r="C62" s="5">
        <f>IFERROR(IF(MAXIFS('Cook log'!A2:A1000,'Cook log'!C2:C1000,A62)=0,"",MAXIFS('Cook log'!A2:A1000,'Cook log'!C2:C1000,A62)),"")</f>
        <v/>
      </c>
      <c r="D62" s="4">
        <f>IF(C62="","",TODAY()-C62)</f>
        <v/>
      </c>
      <c r="E62" s="4">
        <f>COUNTIF('Cook log'!C2:C1000,A62)</f>
        <v/>
      </c>
      <c r="F62" s="6" t="n">
        <v>28</v>
      </c>
      <c r="G62" s="6">
        <f>IF(C62="","Never cooked",IF(D62&lt;F62,"Cooldown","Due"))</f>
        <v/>
      </c>
      <c r="H62" s="4" t="inlineStr"/>
    </row>
    <row r="63">
      <c r="A63" s="4" t="inlineStr">
        <is>
          <t>Chicken noodle soup</t>
        </is>
      </c>
      <c r="B63" s="4" t="inlineStr">
        <is>
          <t>Soup</t>
        </is>
      </c>
      <c r="C63" s="5">
        <f>IFERROR(IF(MAXIFS('Cook log'!A2:A1000,'Cook log'!C2:C1000,A63)=0,"",MAXIFS('Cook log'!A2:A1000,'Cook log'!C2:C1000,A63)),"")</f>
        <v/>
      </c>
      <c r="D63" s="4">
        <f>IF(C63="","",TODAY()-C63)</f>
        <v/>
      </c>
      <c r="E63" s="4">
        <f>COUNTIF('Cook log'!C2:C1000,A63)</f>
        <v/>
      </c>
      <c r="F63" s="6" t="n">
        <v>28</v>
      </c>
      <c r="G63" s="6">
        <f>IF(C63="","Never cooked",IF(D63&lt;F63,"Cooldown","Due"))</f>
        <v/>
      </c>
      <c r="H63" s="4" t="inlineStr"/>
    </row>
    <row r="64">
      <c r="A64" s="4" t="inlineStr">
        <is>
          <t>Nasi lemak</t>
        </is>
      </c>
      <c r="B64" s="4" t="inlineStr">
        <is>
          <t>Rice</t>
        </is>
      </c>
      <c r="C64" s="5">
        <f>IFERROR(IF(MAXIFS('Cook log'!A2:A1000,'Cook log'!C2:C1000,A64)=0,"",MAXIFS('Cook log'!A2:A1000,'Cook log'!C2:C1000,A64)),"")</f>
        <v/>
      </c>
      <c r="D64" s="4">
        <f>IF(C64="","",TODAY()-C64)</f>
        <v/>
      </c>
      <c r="E64" s="4">
        <f>COUNTIF('Cook log'!C2:C1000,A64)</f>
        <v/>
      </c>
      <c r="F64" s="6" t="n">
        <v>28</v>
      </c>
      <c r="G64" s="6">
        <f>IF(C64="","Never cooked",IF(D64&lt;F64,"Cooldown","Due"))</f>
        <v/>
      </c>
      <c r="H64" s="4" t="inlineStr"/>
    </row>
    <row r="65">
      <c r="A65" s="4" t="inlineStr">
        <is>
          <t>Fried chicken wings</t>
        </is>
      </c>
      <c r="B65" s="4" t="inlineStr">
        <is>
          <t>Chicken</t>
        </is>
      </c>
      <c r="C65" s="5">
        <f>IFERROR(IF(MAXIFS('Cook log'!A2:A1000,'Cook log'!C2:C1000,A65)=0,"",MAXIFS('Cook log'!A2:A1000,'Cook log'!C2:C1000,A65)),"")</f>
        <v/>
      </c>
      <c r="D65" s="4">
        <f>IF(C65="","",TODAY()-C65)</f>
        <v/>
      </c>
      <c r="E65" s="4">
        <f>COUNTIF('Cook log'!C2:C1000,A65)</f>
        <v/>
      </c>
      <c r="F65" s="6" t="n">
        <v>21</v>
      </c>
      <c r="G65" s="6">
        <f>IF(C65="","Never cooked",IF(D65&lt;F65,"Cooldown","Due"))</f>
        <v/>
      </c>
      <c r="H65" s="4" t="inlineStr"/>
    </row>
    <row r="66">
      <c r="A66" s="4" t="inlineStr">
        <is>
          <t>Tamagoyaki</t>
        </is>
      </c>
      <c r="B66" s="4" t="inlineStr">
        <is>
          <t>Egg</t>
        </is>
      </c>
      <c r="C66" s="5">
        <f>IFERROR(IF(MAXIFS('Cook log'!A2:A1000,'Cook log'!C2:C1000,A66)=0,"",MAXIFS('Cook log'!A2:A1000,'Cook log'!C2:C1000,A66)),"")</f>
        <v/>
      </c>
      <c r="D66" s="4">
        <f>IF(C66="","",TODAY()-C66)</f>
        <v/>
      </c>
      <c r="E66" s="4">
        <f>COUNTIF('Cook log'!C2:C1000,A66)</f>
        <v/>
      </c>
      <c r="F66" s="6" t="n">
        <v>21</v>
      </c>
      <c r="G66" s="6">
        <f>IF(C66="","Never cooked",IF(D66&lt;F66,"Cooldown","Due"))</f>
        <v/>
      </c>
      <c r="H66" s="4" t="inlineStr"/>
    </row>
    <row r="67">
      <c r="A67" s="4" t="inlineStr">
        <is>
          <t>Sweet and sour pork</t>
        </is>
      </c>
      <c r="B67" s="4" t="inlineStr">
        <is>
          <t>Pork</t>
        </is>
      </c>
      <c r="C67" s="5">
        <f>IFERROR(IF(MAXIFS('Cook log'!A2:A1000,'Cook log'!C2:C1000,A67)=0,"",MAXIFS('Cook log'!A2:A1000,'Cook log'!C2:C1000,A67)),"")</f>
        <v/>
      </c>
      <c r="D67" s="4">
        <f>IF(C67="","",TODAY()-C67)</f>
        <v/>
      </c>
      <c r="E67" s="4">
        <f>COUNTIF('Cook log'!C2:C1000,A67)</f>
        <v/>
      </c>
      <c r="F67" s="6" t="n">
        <v>28</v>
      </c>
      <c r="G67" s="6">
        <f>IF(C67="","Never cooked",IF(D67&lt;F67,"Cooldown","Due"))</f>
        <v/>
      </c>
      <c r="H67" s="4" t="inlineStr"/>
    </row>
    <row r="68">
      <c r="A68" s="4" t="inlineStr">
        <is>
          <t>Rösti</t>
        </is>
      </c>
      <c r="B68" s="4" t="inlineStr">
        <is>
          <t>Side</t>
        </is>
      </c>
      <c r="C68" s="5">
        <f>IFERROR(IF(MAXIFS('Cook log'!A2:A1000,'Cook log'!C2:C1000,A68)=0,"",MAXIFS('Cook log'!A2:A1000,'Cook log'!C2:C1000,A68)),"")</f>
        <v/>
      </c>
      <c r="D68" s="4">
        <f>IF(C68="","",TODAY()-C68)</f>
        <v/>
      </c>
      <c r="E68" s="4">
        <f>COUNTIF('Cook log'!C2:C1000,A68)</f>
        <v/>
      </c>
      <c r="F68" s="6" t="n">
        <v>28</v>
      </c>
      <c r="G68" s="6">
        <f>IF(C68="","Never cooked",IF(D68&lt;F68,"Cooldown","Due"))</f>
        <v/>
      </c>
      <c r="H68" s="4" t="inlineStr"/>
    </row>
    <row r="69">
      <c r="A69" s="4" t="inlineStr">
        <is>
          <t>Stir fried dou miao</t>
        </is>
      </c>
      <c r="B69" s="4" t="inlineStr">
        <is>
          <t>Vegetable</t>
        </is>
      </c>
      <c r="C69" s="5">
        <f>IFERROR(IF(MAXIFS('Cook log'!A2:A1000,'Cook log'!C2:C1000,A69)=0,"",MAXIFS('Cook log'!A2:A1000,'Cook log'!C2:C1000,A69)),"")</f>
        <v/>
      </c>
      <c r="D69" s="4">
        <f>IF(C69="","",TODAY()-C69)</f>
        <v/>
      </c>
      <c r="E69" s="4">
        <f>COUNTIF('Cook log'!C2:C1000,A69)</f>
        <v/>
      </c>
      <c r="F69" s="6" t="n">
        <v>14</v>
      </c>
      <c r="G69" s="6">
        <f>IF(C69="","Never cooked",IF(D69&lt;F69,"Cooldown","Due"))</f>
        <v/>
      </c>
      <c r="H69" s="4" t="inlineStr"/>
    </row>
    <row r="70">
      <c r="A70" s="4" t="inlineStr">
        <is>
          <t>Threadfin kabayaki</t>
        </is>
      </c>
      <c r="B70" s="4" t="inlineStr">
        <is>
          <t>Fish</t>
        </is>
      </c>
      <c r="C70" s="5">
        <f>IFERROR(IF(MAXIFS('Cook log'!A2:A1000,'Cook log'!C2:C1000,A70)=0,"",MAXIFS('Cook log'!A2:A1000,'Cook log'!C2:C1000,A70)),"")</f>
        <v/>
      </c>
      <c r="D70" s="4">
        <f>IF(C70="","",TODAY()-C70)</f>
        <v/>
      </c>
      <c r="E70" s="4">
        <f>COUNTIF('Cook log'!C2:C1000,A70)</f>
        <v/>
      </c>
      <c r="F70" s="6" t="n">
        <v>21</v>
      </c>
      <c r="G70" s="6">
        <f>IF(C70="","Never cooked",IF(D70&lt;F70,"Cooldown","Due"))</f>
        <v/>
      </c>
      <c r="H70" s="4" t="inlineStr">
        <is>
          <t>Same recipe as salmon kabayaki</t>
        </is>
      </c>
    </row>
    <row r="71">
      <c r="A71" s="4" t="inlineStr">
        <is>
          <t>Prawn pancake</t>
        </is>
      </c>
      <c r="B71" s="4" t="inlineStr">
        <is>
          <t>Side</t>
        </is>
      </c>
      <c r="C71" s="5">
        <f>IFERROR(IF(MAXIFS('Cook log'!A2:A1000,'Cook log'!C2:C1000,A71)=0,"",MAXIFS('Cook log'!A2:A1000,'Cook log'!C2:C1000,A71)),"")</f>
        <v/>
      </c>
      <c r="D71" s="4">
        <f>IF(C71="","",TODAY()-C71)</f>
        <v/>
      </c>
      <c r="E71" s="4">
        <f>COUNTIF('Cook log'!C2:C1000,A71)</f>
        <v/>
      </c>
      <c r="F71" s="6" t="n">
        <v>21</v>
      </c>
      <c r="G71" s="6">
        <f>IF(C71="","Never cooked",IF(D71&lt;F71,"Cooldown","Due"))</f>
        <v/>
      </c>
      <c r="H71" s="4" t="inlineStr"/>
    </row>
    <row r="72">
      <c r="A72" t="inlineStr">
        <is>
          <t>Korean fried chicken wings</t>
        </is>
      </c>
      <c r="B72" t="inlineStr">
        <is>
          <t>Chicken</t>
        </is>
      </c>
      <c r="F72" t="n">
        <v>21</v>
      </c>
      <c r="H72" t="inlineStr">
        <is>
          <t>3 sauces: honey soy / black pepper / spicy sweet</t>
        </is>
      </c>
    </row>
    <row r="73">
      <c r="A73" t="inlineStr">
        <is>
          <t>Sambal kangkong</t>
        </is>
      </c>
      <c r="B73" t="inlineStr">
        <is>
          <t>Vegetable</t>
        </is>
      </c>
      <c r="F73" t="n">
        <v>14</v>
      </c>
    </row>
    <row r="74">
      <c r="A74" t="inlineStr">
        <is>
          <t>Beancurd meat rolls</t>
        </is>
      </c>
      <c r="B74" t="inlineStr">
        <is>
          <t>Side</t>
        </is>
      </c>
      <c r="F74" t="n">
        <v>28</v>
      </c>
      <c r="H74" t="inlineStr">
        <is>
          <t>Dim sum, prawn + pork filling</t>
        </is>
      </c>
    </row>
    <row r="75">
      <c r="A75" t="inlineStr">
        <is>
          <t>Fried yellow croaker</t>
        </is>
      </c>
      <c r="B75" t="inlineStr">
        <is>
          <t>Fish</t>
        </is>
      </c>
      <c r="F75" t="n">
        <v>21</v>
      </c>
    </row>
    <row r="76">
      <c r="A76" t="inlineStr">
        <is>
          <t>Lotus root pork rib soup</t>
        </is>
      </c>
      <c r="B76" t="inlineStr">
        <is>
          <t>Soup</t>
        </is>
      </c>
      <c r="F76" t="n">
        <v>21</v>
      </c>
    </row>
    <row r="77">
      <c r="A77" t="inlineStr">
        <is>
          <t>Steamed egg tofu with minced pork</t>
        </is>
      </c>
      <c r="B77" t="inlineStr">
        <is>
          <t>Egg</t>
        </is>
      </c>
      <c r="F77" t="n">
        <v>21</v>
      </c>
      <c r="H77" t="inlineStr">
        <is>
          <t>With dried scallop</t>
        </is>
      </c>
    </row>
    <row r="78">
      <c r="A78" t="inlineStr">
        <is>
          <t>Pandan chicken</t>
        </is>
      </c>
      <c r="B78" t="inlineStr">
        <is>
          <t>Chicken</t>
        </is>
      </c>
      <c r="F78" t="n">
        <v>28</v>
      </c>
      <c r="H78" t="inlineStr">
        <is>
          <t>Thai style</t>
        </is>
      </c>
    </row>
    <row r="79">
      <c r="A79" t="inlineStr">
        <is>
          <t>Beef stew</t>
        </is>
      </c>
      <c r="B79" t="inlineStr">
        <is>
          <t>Beef</t>
        </is>
      </c>
      <c r="F79" t="n">
        <v>35</v>
      </c>
      <c r="H79" t="inlineStr">
        <is>
          <t>Roland's classic Western braise</t>
        </is>
      </c>
    </row>
    <row r="80">
      <c r="A80" t="inlineStr">
        <is>
          <t>Garlic bread</t>
        </is>
      </c>
      <c r="B80" t="inlineStr">
        <is>
          <t>Side</t>
        </is>
      </c>
      <c r="F80" t="n">
        <v>21</v>
      </c>
    </row>
    <row r="81">
      <c r="A81" t="inlineStr">
        <is>
          <t>Egg omelette</t>
        </is>
      </c>
      <c r="B81" t="inlineStr">
        <is>
          <t>Egg</t>
        </is>
      </c>
      <c r="F81" t="n">
        <v>14</v>
      </c>
    </row>
    <row r="82">
      <c r="A82" t="inlineStr">
        <is>
          <t>Ikan bilis</t>
        </is>
      </c>
      <c r="B82" t="inlineStr">
        <is>
          <t>Side</t>
        </is>
      </c>
      <c r="F82" t="n">
        <v>14</v>
      </c>
      <c r="H82" t="inlineStr">
        <is>
          <t>For nasi lemak</t>
        </is>
      </c>
    </row>
    <row r="83">
      <c r="A83" t="inlineStr">
        <is>
          <t>Stir fried vegetable</t>
        </is>
      </c>
      <c r="B83" t="inlineStr">
        <is>
          <t>Vegetable</t>
        </is>
      </c>
      <c r="F83" t="n">
        <v>7</v>
      </c>
      <c r="H83" t="inlineStr">
        <is>
          <t>Generic placeholder</t>
        </is>
      </c>
    </row>
    <row r="84">
      <c r="A84" t="inlineStr">
        <is>
          <t>Fried yam shrimp</t>
        </is>
      </c>
      <c r="B84" t="inlineStr">
        <is>
          <t>Prawn</t>
        </is>
      </c>
      <c r="F84" t="n">
        <v>35</v>
      </c>
      <c r="H84" t="inlineStr">
        <is>
          <t>Dim sum</t>
        </is>
      </c>
    </row>
    <row r="85">
      <c r="A85" t="inlineStr">
        <is>
          <t>Japanese mushroom rice</t>
        </is>
      </c>
      <c r="B85" t="inlineStr">
        <is>
          <t>Rice</t>
        </is>
      </c>
      <c r="F85" t="n">
        <v>28</v>
      </c>
      <c r="H85" t="inlineStr">
        <is>
          <t>Takikomi gohan with shimeji/king oyster/shiitake</t>
        </is>
      </c>
    </row>
    <row r="86">
      <c r="A86" t="inlineStr">
        <is>
          <t>Spinach ban mian</t>
        </is>
      </c>
      <c r="B86" t="inlineStr">
        <is>
          <t>Noodle</t>
        </is>
      </c>
      <c r="C86">
        <f>IFERROR(IF(MAXIFS('Cook log'!A2:A1000,'Cook log'!C2:C1000,A86)=0,"",MAXIFS('Cook log'!A2:A1000,'Cook log'!C2:C1000,A86)),"")</f>
        <v/>
      </c>
      <c r="D86">
        <f>IF(C86="","",TODAY()-C86)</f>
        <v/>
      </c>
      <c r="E86">
        <f>COUNTIF('Cook log'!C2:C1000,A86)</f>
        <v/>
      </c>
      <c r="F86" t="n">
        <v>21</v>
      </c>
      <c r="G86">
        <f>IF(C86="","Never cooked",IF(D86&lt;F86,"Cooldown","Due"))</f>
        <v/>
      </c>
      <c r="H86" t="inlineStr"/>
    </row>
    <row r="87">
      <c r="A87" t="inlineStr">
        <is>
          <t>Japanese miso butter mushroom</t>
        </is>
      </c>
      <c r="B87" t="inlineStr">
        <is>
          <t>Vegetable</t>
        </is>
      </c>
      <c r="C87">
        <f>IFERROR(IF(MAXIFS('Cook log'!A2:A1000,'Cook log'!C2:C1000,A87)=0,"",MAXIFS('Cook log'!A2:A1000,'Cook log'!C2:C1000,A87)),"")</f>
        <v/>
      </c>
      <c r="D87">
        <f>IF(C87="","",TODAY()-C87)</f>
        <v/>
      </c>
      <c r="E87">
        <f>COUNTIF('Cook log'!C2:C1000,A87)</f>
        <v/>
      </c>
      <c r="F87" t="n">
        <v>28</v>
      </c>
      <c r="G87">
        <f>IF(C87="","Never cooked",IF(D87&lt;F87,"Cooldown","Due"))</f>
        <v/>
      </c>
      <c r="H87" t="inlineStr">
        <is>
          <t>Foil yaki, assorted Japanese mushrooms</t>
        </is>
      </c>
    </row>
    <row r="88">
      <c r="A88" t="inlineStr">
        <is>
          <t>Fishball minced pork soup</t>
        </is>
      </c>
      <c r="B88" t="inlineStr">
        <is>
          <t>Soup</t>
        </is>
      </c>
      <c r="C88">
        <f>IFERROR(IF(MAXIFS('Cook log'!A2:A1000,'Cook log'!C2:C1000,A88)=0,"",MAXIFS('Cook log'!A2:A1000,'Cook log'!C2:C1000,A88)),"")</f>
        <v/>
      </c>
      <c r="D88">
        <f>IF(C88="","",TODAY()-C88)</f>
        <v/>
      </c>
      <c r="E88">
        <f>COUNTIF('Cook log'!C2:C1000,A88)</f>
        <v/>
      </c>
      <c r="F88" t="n">
        <v>21</v>
      </c>
      <c r="G88">
        <f>IF(C88="","Never cooked",IF(D88&lt;F88,"Cooldown","Due"))</f>
        <v/>
      </c>
      <c r="H88" t="inlineStr">
        <is>
          <t>Adaptable — add blanched leafy greens</t>
        </is>
      </c>
    </row>
    <row r="89">
      <c r="A89" t="inlineStr">
        <is>
          <t>Cheesy baked rice</t>
        </is>
      </c>
      <c r="B89" t="inlineStr">
        <is>
          <t>Rice</t>
        </is>
      </c>
      <c r="C89">
        <f>IFERROR(IF(MAXIFS('Cook log'!A2:A1000,'Cook log'!C2:C1000,A89)=0,"",MAXIFS('Cook log'!A2:A1000,'Cook log'!C2:C1000,A89)),"")</f>
        <v/>
      </c>
      <c r="D89">
        <f>IF(C89="","",TODAY()-C89)</f>
        <v/>
      </c>
      <c r="E89">
        <f>COUNTIF('Cook log'!C2:C1000,A89)</f>
        <v/>
      </c>
      <c r="F89" t="n">
        <v>28</v>
      </c>
      <c r="G89">
        <f>IF(C89="","Never cooked",IF(D89&lt;F89,"Cooldown","Due"))</f>
        <v/>
      </c>
      <c r="H89" t="inlineStr">
        <is>
          <t>Family recipe (Pa) — seafood + cheese</t>
        </is>
      </c>
    </row>
    <row r="90">
      <c r="A90" t="inlineStr">
        <is>
          <t>Claypot tofu</t>
        </is>
      </c>
      <c r="B90" t="inlineStr">
        <is>
          <t>Egg</t>
        </is>
      </c>
      <c r="C90">
        <f>IFERROR(IF(MAXIFS('Cook log'!A2:A1000,'Cook log'!C2:C1000,A90)=0,"",MAXIFS('Cook log'!A2:A1000,'Cook log'!C2:C1000,A90)),"")</f>
        <v/>
      </c>
      <c r="D90">
        <f>IF(C90="","",TODAY()-C90)</f>
        <v/>
      </c>
      <c r="E90">
        <f>COUNTIF('Cook log'!C2:C1000,A90)</f>
        <v/>
      </c>
      <c r="F90" t="n">
        <v>21</v>
      </c>
      <c r="G90">
        <f>IF(C90="","Never cooked",IF(D90&lt;F90,"Cooldown","Due"))</f>
        <v/>
      </c>
      <c r="H90" t="inlineStr">
        <is>
          <t>Egg tofu, doubanjiang, minced pork, prawns</t>
        </is>
      </c>
    </row>
    <row r="91">
      <c r="A91" t="inlineStr">
        <is>
          <t>Yang Zhou fried rice</t>
        </is>
      </c>
      <c r="B91" t="inlineStr">
        <is>
          <t>Rice</t>
        </is>
      </c>
      <c r="C91">
        <f>IFERROR(IF(MAXIFS('Cook log'!A2:A1000,'Cook log'!C2:C1000,A91)=0,"",MAXIFS('Cook log'!A2:A1000,'Cook log'!C2:C1000,A91)),"")</f>
        <v/>
      </c>
      <c r="D91">
        <f>IF(C91="","",TODAY()-C91)</f>
        <v/>
      </c>
      <c r="E91">
        <f>COUNTIF('Cook log'!C2:C1000,A91)</f>
        <v/>
      </c>
      <c r="F91" t="n">
        <v>28</v>
      </c>
      <c r="G91">
        <f>IF(C91="","Never cooked",IF(D91&lt;F91,"Cooldown","Due"))</f>
        <v/>
      </c>
      <c r="H91" t="inlineStr">
        <is>
          <t>With jin hua ham</t>
        </is>
      </c>
    </row>
  </sheetData>
  <autoFilter ref="A1:H71"/>
  <conditionalFormatting sqref="G2:G62">
    <cfRule type="cellIs" priority="1" operator="equal" dxfId="0">
      <formula>"Due"</formula>
    </cfRule>
    <cfRule type="cellIs" priority="2" operator="equal" dxfId="1">
      <formula>"Cooldown"</formula>
    </cfRule>
    <cfRule type="cellIs" priority="3" operator="equal" dxfId="2">
      <formula>"Never cooked"</formula>
    </cfRule>
  </conditionalFormatting>
  <conditionalFormatting sqref="G63:G67">
    <cfRule type="cellIs" priority="4" operator="equal" dxfId="0">
      <formula>"Due"</formula>
    </cfRule>
    <cfRule type="cellIs" priority="5" operator="equal" dxfId="1">
      <formula>"Cooldown"</formula>
    </cfRule>
    <cfRule type="cellIs" priority="6" operator="equal" dxfId="2">
      <formula>"Never cooked"</formula>
    </cfRule>
  </conditionalFormatting>
  <conditionalFormatting sqref="G68:G71">
    <cfRule type="cellIs" priority="7" operator="equal" dxfId="0">
      <formula>"Due"</formula>
    </cfRule>
    <cfRule type="cellIs" priority="8" operator="equal" dxfId="1">
      <formula>"Cooldown"</formula>
    </cfRule>
    <cfRule type="cellIs" priority="9" operator="equal" dxfId="2">
      <formula>"Never cooked"</formula>
    </cfRule>
  </conditionalFormatting>
  <dataValidations count="1">
    <dataValidation sqref="B2:B500" showDropDown="0" showInputMessage="0" showErrorMessage="0" allowBlank="1" type="list">
      <formula1>=Reference!$A$2:$A$14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7" t="inlineStr">
        <is>
          <t>Categories</t>
        </is>
      </c>
    </row>
    <row r="2">
      <c r="A2" t="inlineStr">
        <is>
          <t>Beef</t>
        </is>
      </c>
    </row>
    <row r="3">
      <c r="A3" t="inlineStr">
        <is>
          <t>Chicken</t>
        </is>
      </c>
    </row>
    <row r="4">
      <c r="A4" t="inlineStr">
        <is>
          <t>Egg</t>
        </is>
      </c>
    </row>
    <row r="5">
      <c r="A5" t="inlineStr">
        <is>
          <t>Fish</t>
        </is>
      </c>
    </row>
    <row r="6">
      <c r="A6" t="inlineStr">
        <is>
          <t>Noodle</t>
        </is>
      </c>
    </row>
    <row r="7">
      <c r="A7" t="inlineStr">
        <is>
          <t>Other</t>
        </is>
      </c>
    </row>
    <row r="8">
      <c r="A8" t="inlineStr">
        <is>
          <t>Pork</t>
        </is>
      </c>
    </row>
    <row r="9">
      <c r="A9" t="inlineStr">
        <is>
          <t>Prawn</t>
        </is>
      </c>
    </row>
    <row r="10">
      <c r="A10" t="inlineStr">
        <is>
          <t>Rice</t>
        </is>
      </c>
    </row>
    <row r="11">
      <c r="A11" t="inlineStr">
        <is>
          <t>Side</t>
        </is>
      </c>
    </row>
    <row r="12">
      <c r="A12" t="inlineStr">
        <is>
          <t>Soup</t>
        </is>
      </c>
    </row>
    <row r="13">
      <c r="A13" t="inlineStr">
        <is>
          <t>Vegetable</t>
        </is>
      </c>
    </row>
    <row r="14">
      <c r="A14" t="inlineStr">
        <is>
          <t>Western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2026-05-10T13:44:45Z</dcterms:created>
  <dcterms:modified xmlns:dcterms="http://purl.org/dc/terms/" xmlns:xsi="http://www.w3.org/2001/XMLSchema-instance" xsi:type="dcterms:W3CDTF">2026-05-30T13:46:26Z</dcterms:modified>
</cp:coreProperties>
</file>